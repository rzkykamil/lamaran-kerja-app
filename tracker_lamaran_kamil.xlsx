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bba\Downloads\"/>
    </mc:Choice>
  </mc:AlternateContent>
  <xr:revisionPtr revIDLastSave="0" documentId="13_ncr:1_{5EAD2C74-758B-4ABC-B9F6-D4C230DFE647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Dashboard" sheetId="1" r:id="rId1"/>
    <sheet name="Lists" sheetId="2" r:id="rId2"/>
    <sheet name="Full-Time" sheetId="3" r:id="rId3"/>
    <sheet name="Freelanc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5" i="3" l="1"/>
  <c r="P86" i="4"/>
  <c r="K86" i="4"/>
  <c r="H86" i="4"/>
  <c r="Q84" i="4"/>
  <c r="K84" i="4"/>
  <c r="A84" i="4"/>
  <c r="Q83" i="4"/>
  <c r="K83" i="4"/>
  <c r="A83" i="4"/>
  <c r="Q82" i="4"/>
  <c r="K82" i="4"/>
  <c r="A82" i="4"/>
  <c r="Q81" i="4"/>
  <c r="K81" i="4"/>
  <c r="A81" i="4"/>
  <c r="Q80" i="4"/>
  <c r="K80" i="4"/>
  <c r="A80" i="4"/>
  <c r="Q79" i="4"/>
  <c r="K79" i="4"/>
  <c r="A79" i="4"/>
  <c r="Q78" i="4"/>
  <c r="K78" i="4"/>
  <c r="A78" i="4"/>
  <c r="Q77" i="4"/>
  <c r="K77" i="4"/>
  <c r="A77" i="4"/>
  <c r="Q76" i="4"/>
  <c r="K76" i="4"/>
  <c r="A76" i="4"/>
  <c r="Q75" i="4"/>
  <c r="K75" i="4"/>
  <c r="A75" i="4"/>
  <c r="Q74" i="4"/>
  <c r="K74" i="4"/>
  <c r="A74" i="4"/>
  <c r="Q73" i="4"/>
  <c r="K73" i="4"/>
  <c r="A73" i="4"/>
  <c r="Q72" i="4"/>
  <c r="K72" i="4"/>
  <c r="A72" i="4"/>
  <c r="Q71" i="4"/>
  <c r="K71" i="4"/>
  <c r="A71" i="4"/>
  <c r="Q70" i="4"/>
  <c r="K70" i="4"/>
  <c r="A70" i="4"/>
  <c r="Q69" i="4"/>
  <c r="K69" i="4"/>
  <c r="A69" i="4"/>
  <c r="Q68" i="4"/>
  <c r="K68" i="4"/>
  <c r="A68" i="4"/>
  <c r="Q67" i="4"/>
  <c r="K67" i="4"/>
  <c r="A67" i="4"/>
  <c r="Q66" i="4"/>
  <c r="K66" i="4"/>
  <c r="A66" i="4"/>
  <c r="Q65" i="4"/>
  <c r="K65" i="4"/>
  <c r="A65" i="4"/>
  <c r="Q64" i="4"/>
  <c r="K64" i="4"/>
  <c r="A64" i="4"/>
  <c r="Q63" i="4"/>
  <c r="K63" i="4"/>
  <c r="A63" i="4"/>
  <c r="Q62" i="4"/>
  <c r="K62" i="4"/>
  <c r="A62" i="4"/>
  <c r="Q61" i="4"/>
  <c r="K61" i="4"/>
  <c r="A61" i="4"/>
  <c r="Q60" i="4"/>
  <c r="K60" i="4"/>
  <c r="A60" i="4"/>
  <c r="Q59" i="4"/>
  <c r="K59" i="4"/>
  <c r="A59" i="4"/>
  <c r="Q58" i="4"/>
  <c r="K58" i="4"/>
  <c r="A58" i="4"/>
  <c r="Q57" i="4"/>
  <c r="K57" i="4"/>
  <c r="A57" i="4"/>
  <c r="Q56" i="4"/>
  <c r="K56" i="4"/>
  <c r="A56" i="4"/>
  <c r="Q55" i="4"/>
  <c r="K55" i="4"/>
  <c r="A55" i="4"/>
  <c r="Q54" i="4"/>
  <c r="K54" i="4"/>
  <c r="A54" i="4"/>
  <c r="Q53" i="4"/>
  <c r="K53" i="4"/>
  <c r="A53" i="4"/>
  <c r="Q52" i="4"/>
  <c r="K52" i="4"/>
  <c r="A52" i="4"/>
  <c r="Q51" i="4"/>
  <c r="K51" i="4"/>
  <c r="A51" i="4"/>
  <c r="Q50" i="4"/>
  <c r="K50" i="4"/>
  <c r="A50" i="4"/>
  <c r="Q49" i="4"/>
  <c r="K49" i="4"/>
  <c r="A49" i="4"/>
  <c r="Q48" i="4"/>
  <c r="K48" i="4"/>
  <c r="A48" i="4"/>
  <c r="Q47" i="4"/>
  <c r="K47" i="4"/>
  <c r="A47" i="4"/>
  <c r="Q46" i="4"/>
  <c r="K46" i="4"/>
  <c r="A46" i="4"/>
  <c r="Q45" i="4"/>
  <c r="K45" i="4"/>
  <c r="A45" i="4"/>
  <c r="Q44" i="4"/>
  <c r="K44" i="4"/>
  <c r="A44" i="4"/>
  <c r="Q43" i="4"/>
  <c r="K43" i="4"/>
  <c r="A43" i="4"/>
  <c r="Q42" i="4"/>
  <c r="K42" i="4"/>
  <c r="A42" i="4"/>
  <c r="Q41" i="4"/>
  <c r="K41" i="4"/>
  <c r="A41" i="4"/>
  <c r="Q40" i="4"/>
  <c r="K40" i="4"/>
  <c r="A40" i="4"/>
  <c r="Q39" i="4"/>
  <c r="K39" i="4"/>
  <c r="A39" i="4"/>
  <c r="Q38" i="4"/>
  <c r="K38" i="4"/>
  <c r="A38" i="4"/>
  <c r="Q37" i="4"/>
  <c r="K37" i="4"/>
  <c r="A37" i="4"/>
  <c r="Q36" i="4"/>
  <c r="K36" i="4"/>
  <c r="A36" i="4"/>
  <c r="Q35" i="4"/>
  <c r="K35" i="4"/>
  <c r="A35" i="4"/>
  <c r="Q34" i="4"/>
  <c r="K34" i="4"/>
  <c r="A34" i="4"/>
  <c r="Q33" i="4"/>
  <c r="K33" i="4"/>
  <c r="A33" i="4"/>
  <c r="Q32" i="4"/>
  <c r="K32" i="4"/>
  <c r="A32" i="4"/>
  <c r="Q31" i="4"/>
  <c r="K31" i="4"/>
  <c r="A31" i="4"/>
  <c r="Q30" i="4"/>
  <c r="K30" i="4"/>
  <c r="A30" i="4"/>
  <c r="Q29" i="4"/>
  <c r="K29" i="4"/>
  <c r="A29" i="4"/>
  <c r="Q28" i="4"/>
  <c r="K28" i="4"/>
  <c r="A28" i="4"/>
  <c r="Q27" i="4"/>
  <c r="K27" i="4"/>
  <c r="A27" i="4"/>
  <c r="Q26" i="4"/>
  <c r="K26" i="4"/>
  <c r="A26" i="4"/>
  <c r="Q25" i="4"/>
  <c r="K25" i="4"/>
  <c r="A25" i="4"/>
  <c r="Q24" i="4"/>
  <c r="K24" i="4"/>
  <c r="A24" i="4"/>
  <c r="Q23" i="4"/>
  <c r="K23" i="4"/>
  <c r="A23" i="4"/>
  <c r="Q22" i="4"/>
  <c r="K22" i="4"/>
  <c r="A22" i="4"/>
  <c r="Q21" i="4"/>
  <c r="K21" i="4"/>
  <c r="A21" i="4"/>
  <c r="Q20" i="4"/>
  <c r="K20" i="4"/>
  <c r="A20" i="4"/>
  <c r="Q19" i="4"/>
  <c r="K19" i="4"/>
  <c r="A19" i="4"/>
  <c r="Q18" i="4"/>
  <c r="K18" i="4"/>
  <c r="A18" i="4"/>
  <c r="Q17" i="4"/>
  <c r="K17" i="4"/>
  <c r="A17" i="4"/>
  <c r="Q16" i="4"/>
  <c r="K16" i="4"/>
  <c r="A16" i="4"/>
  <c r="Q15" i="4"/>
  <c r="K15" i="4"/>
  <c r="A15" i="4"/>
  <c r="Q14" i="4"/>
  <c r="K14" i="4"/>
  <c r="A14" i="4"/>
  <c r="Q13" i="4"/>
  <c r="K13" i="4"/>
  <c r="A13" i="4"/>
  <c r="Q12" i="4"/>
  <c r="K12" i="4"/>
  <c r="A12" i="4"/>
  <c r="Q11" i="4"/>
  <c r="K11" i="4"/>
  <c r="A11" i="4"/>
  <c r="Q10" i="4"/>
  <c r="K10" i="4"/>
  <c r="A10" i="4"/>
  <c r="Q9" i="4"/>
  <c r="K9" i="4"/>
  <c r="C36" i="1" s="1"/>
  <c r="A9" i="4"/>
  <c r="Q8" i="4"/>
  <c r="K8" i="4"/>
  <c r="A8" i="4"/>
  <c r="Q7" i="4"/>
  <c r="K7" i="4"/>
  <c r="A7" i="4"/>
  <c r="Q6" i="4"/>
  <c r="K6" i="4"/>
  <c r="A6" i="4"/>
  <c r="Q5" i="4"/>
  <c r="C39" i="1" s="1"/>
  <c r="K5" i="4"/>
  <c r="N124" i="3"/>
  <c r="L124" i="3"/>
  <c r="A124" i="3"/>
  <c r="N123" i="3"/>
  <c r="L123" i="3"/>
  <c r="A123" i="3"/>
  <c r="N122" i="3"/>
  <c r="L122" i="3"/>
  <c r="A122" i="3"/>
  <c r="N121" i="3"/>
  <c r="L121" i="3"/>
  <c r="A121" i="3"/>
  <c r="N120" i="3"/>
  <c r="L120" i="3"/>
  <c r="A120" i="3"/>
  <c r="N119" i="3"/>
  <c r="L119" i="3"/>
  <c r="A119" i="3"/>
  <c r="N118" i="3"/>
  <c r="L118" i="3"/>
  <c r="A118" i="3"/>
  <c r="N117" i="3"/>
  <c r="L117" i="3"/>
  <c r="A117" i="3"/>
  <c r="N116" i="3"/>
  <c r="L116" i="3"/>
  <c r="A116" i="3"/>
  <c r="N115" i="3"/>
  <c r="L115" i="3"/>
  <c r="A115" i="3"/>
  <c r="N114" i="3"/>
  <c r="L114" i="3"/>
  <c r="A114" i="3"/>
  <c r="N113" i="3"/>
  <c r="L113" i="3"/>
  <c r="A113" i="3"/>
  <c r="N112" i="3"/>
  <c r="L112" i="3"/>
  <c r="A112" i="3"/>
  <c r="N111" i="3"/>
  <c r="L111" i="3"/>
  <c r="A111" i="3"/>
  <c r="N110" i="3"/>
  <c r="L110" i="3"/>
  <c r="A110" i="3"/>
  <c r="N109" i="3"/>
  <c r="L109" i="3"/>
  <c r="A109" i="3"/>
  <c r="N108" i="3"/>
  <c r="L108" i="3"/>
  <c r="A108" i="3"/>
  <c r="N107" i="3"/>
  <c r="L107" i="3"/>
  <c r="A107" i="3"/>
  <c r="N106" i="3"/>
  <c r="L106" i="3"/>
  <c r="A106" i="3"/>
  <c r="N105" i="3"/>
  <c r="L105" i="3"/>
  <c r="A105" i="3"/>
  <c r="N104" i="3"/>
  <c r="L104" i="3"/>
  <c r="A104" i="3"/>
  <c r="N103" i="3"/>
  <c r="L103" i="3"/>
  <c r="A103" i="3"/>
  <c r="N102" i="3"/>
  <c r="L102" i="3"/>
  <c r="A102" i="3"/>
  <c r="N101" i="3"/>
  <c r="L101" i="3"/>
  <c r="A101" i="3"/>
  <c r="N100" i="3"/>
  <c r="L100" i="3"/>
  <c r="A100" i="3"/>
  <c r="N99" i="3"/>
  <c r="L99" i="3"/>
  <c r="A99" i="3"/>
  <c r="N98" i="3"/>
  <c r="L98" i="3"/>
  <c r="A98" i="3"/>
  <c r="N97" i="3"/>
  <c r="L97" i="3"/>
  <c r="A97" i="3"/>
  <c r="N96" i="3"/>
  <c r="L96" i="3"/>
  <c r="A96" i="3"/>
  <c r="N95" i="3"/>
  <c r="L95" i="3"/>
  <c r="A95" i="3"/>
  <c r="N94" i="3"/>
  <c r="L94" i="3"/>
  <c r="A94" i="3"/>
  <c r="N93" i="3"/>
  <c r="L93" i="3"/>
  <c r="A93" i="3"/>
  <c r="N92" i="3"/>
  <c r="L92" i="3"/>
  <c r="A92" i="3"/>
  <c r="N91" i="3"/>
  <c r="L91" i="3"/>
  <c r="A91" i="3"/>
  <c r="N90" i="3"/>
  <c r="L90" i="3"/>
  <c r="A90" i="3"/>
  <c r="N89" i="3"/>
  <c r="L89" i="3"/>
  <c r="A89" i="3"/>
  <c r="N88" i="3"/>
  <c r="L88" i="3"/>
  <c r="A88" i="3"/>
  <c r="N87" i="3"/>
  <c r="L87" i="3"/>
  <c r="A87" i="3"/>
  <c r="N86" i="3"/>
  <c r="L86" i="3"/>
  <c r="A86" i="3"/>
  <c r="N85" i="3"/>
  <c r="L85" i="3"/>
  <c r="A85" i="3"/>
  <c r="N84" i="3"/>
  <c r="L84" i="3"/>
  <c r="A84" i="3"/>
  <c r="N83" i="3"/>
  <c r="L83" i="3"/>
  <c r="A83" i="3"/>
  <c r="N82" i="3"/>
  <c r="L82" i="3"/>
  <c r="A82" i="3"/>
  <c r="N81" i="3"/>
  <c r="L81" i="3"/>
  <c r="A81" i="3"/>
  <c r="N80" i="3"/>
  <c r="L80" i="3"/>
  <c r="A80" i="3"/>
  <c r="N79" i="3"/>
  <c r="L79" i="3"/>
  <c r="A79" i="3"/>
  <c r="N78" i="3"/>
  <c r="L78" i="3"/>
  <c r="A78" i="3"/>
  <c r="N77" i="3"/>
  <c r="L77" i="3"/>
  <c r="A77" i="3"/>
  <c r="N76" i="3"/>
  <c r="L76" i="3"/>
  <c r="A76" i="3"/>
  <c r="N75" i="3"/>
  <c r="L75" i="3"/>
  <c r="A75" i="3"/>
  <c r="N74" i="3"/>
  <c r="L74" i="3"/>
  <c r="A74" i="3"/>
  <c r="N73" i="3"/>
  <c r="L73" i="3"/>
  <c r="A73" i="3"/>
  <c r="N72" i="3"/>
  <c r="L72" i="3"/>
  <c r="A72" i="3"/>
  <c r="N71" i="3"/>
  <c r="L71" i="3"/>
  <c r="A71" i="3"/>
  <c r="N70" i="3"/>
  <c r="L70" i="3"/>
  <c r="A70" i="3"/>
  <c r="N69" i="3"/>
  <c r="L69" i="3"/>
  <c r="A69" i="3"/>
  <c r="N68" i="3"/>
  <c r="L68" i="3"/>
  <c r="A68" i="3"/>
  <c r="N67" i="3"/>
  <c r="L67" i="3"/>
  <c r="A67" i="3"/>
  <c r="N66" i="3"/>
  <c r="L66" i="3"/>
  <c r="A66" i="3"/>
  <c r="N65" i="3"/>
  <c r="L65" i="3"/>
  <c r="A65" i="3"/>
  <c r="N64" i="3"/>
  <c r="L64" i="3"/>
  <c r="A64" i="3"/>
  <c r="N63" i="3"/>
  <c r="L63" i="3"/>
  <c r="A63" i="3"/>
  <c r="N62" i="3"/>
  <c r="L62" i="3"/>
  <c r="A62" i="3"/>
  <c r="N61" i="3"/>
  <c r="L61" i="3"/>
  <c r="A61" i="3"/>
  <c r="N60" i="3"/>
  <c r="L60" i="3"/>
  <c r="A60" i="3"/>
  <c r="N59" i="3"/>
  <c r="L59" i="3"/>
  <c r="A59" i="3"/>
  <c r="N58" i="3"/>
  <c r="L58" i="3"/>
  <c r="A58" i="3"/>
  <c r="N57" i="3"/>
  <c r="L57" i="3"/>
  <c r="A57" i="3"/>
  <c r="N56" i="3"/>
  <c r="L56" i="3"/>
  <c r="A56" i="3"/>
  <c r="N55" i="3"/>
  <c r="L55" i="3"/>
  <c r="A55" i="3"/>
  <c r="N54" i="3"/>
  <c r="L54" i="3"/>
  <c r="A54" i="3"/>
  <c r="N53" i="3"/>
  <c r="L53" i="3"/>
  <c r="A53" i="3"/>
  <c r="N52" i="3"/>
  <c r="L52" i="3"/>
  <c r="A52" i="3"/>
  <c r="N51" i="3"/>
  <c r="L51" i="3"/>
  <c r="A51" i="3"/>
  <c r="N50" i="3"/>
  <c r="L50" i="3"/>
  <c r="A50" i="3"/>
  <c r="N49" i="3"/>
  <c r="L49" i="3"/>
  <c r="A49" i="3"/>
  <c r="N48" i="3"/>
  <c r="L48" i="3"/>
  <c r="A48" i="3"/>
  <c r="N47" i="3"/>
  <c r="L47" i="3"/>
  <c r="A47" i="3"/>
  <c r="N46" i="3"/>
  <c r="L46" i="3"/>
  <c r="A46" i="3"/>
  <c r="N45" i="3"/>
  <c r="L45" i="3"/>
  <c r="A45" i="3"/>
  <c r="N44" i="3"/>
  <c r="L44" i="3"/>
  <c r="A44" i="3"/>
  <c r="N43" i="3"/>
  <c r="L43" i="3"/>
  <c r="A43" i="3"/>
  <c r="N42" i="3"/>
  <c r="L42" i="3"/>
  <c r="A42" i="3"/>
  <c r="N41" i="3"/>
  <c r="L41" i="3"/>
  <c r="A41" i="3"/>
  <c r="N40" i="3"/>
  <c r="L40" i="3"/>
  <c r="A40" i="3"/>
  <c r="N39" i="3"/>
  <c r="L39" i="3"/>
  <c r="A39" i="3"/>
  <c r="N38" i="3"/>
  <c r="L38" i="3"/>
  <c r="A38" i="3"/>
  <c r="N37" i="3"/>
  <c r="L37" i="3"/>
  <c r="A37" i="3"/>
  <c r="N36" i="3"/>
  <c r="L36" i="3"/>
  <c r="A36" i="3"/>
  <c r="N35" i="3"/>
  <c r="L35" i="3"/>
  <c r="A35" i="3"/>
  <c r="N34" i="3"/>
  <c r="L34" i="3"/>
  <c r="A34" i="3"/>
  <c r="N33" i="3"/>
  <c r="L33" i="3"/>
  <c r="A33" i="3"/>
  <c r="N32" i="3"/>
  <c r="L32" i="3"/>
  <c r="A32" i="3"/>
  <c r="N31" i="3"/>
  <c r="L31" i="3"/>
  <c r="A31" i="3"/>
  <c r="N30" i="3"/>
  <c r="L30" i="3"/>
  <c r="A30" i="3"/>
  <c r="N29" i="3"/>
  <c r="L29" i="3"/>
  <c r="A29" i="3"/>
  <c r="N28" i="3"/>
  <c r="L28" i="3"/>
  <c r="A28" i="3"/>
  <c r="N27" i="3"/>
  <c r="L27" i="3"/>
  <c r="A27" i="3"/>
  <c r="N26" i="3"/>
  <c r="L26" i="3"/>
  <c r="A26" i="3"/>
  <c r="N25" i="3"/>
  <c r="L25" i="3"/>
  <c r="A25" i="3"/>
  <c r="N24" i="3"/>
  <c r="L24" i="3"/>
  <c r="A24" i="3"/>
  <c r="N23" i="3"/>
  <c r="L23" i="3"/>
  <c r="A23" i="3"/>
  <c r="N22" i="3"/>
  <c r="L22" i="3"/>
  <c r="A22" i="3"/>
  <c r="N21" i="3"/>
  <c r="L21" i="3"/>
  <c r="A21" i="3"/>
  <c r="N20" i="3"/>
  <c r="L20" i="3"/>
  <c r="A20" i="3"/>
  <c r="N19" i="3"/>
  <c r="L19" i="3"/>
  <c r="A19" i="3"/>
  <c r="N18" i="3"/>
  <c r="L18" i="3"/>
  <c r="A18" i="3"/>
  <c r="N17" i="3"/>
  <c r="L17" i="3"/>
  <c r="A17" i="3"/>
  <c r="N16" i="3"/>
  <c r="L16" i="3"/>
  <c r="A16" i="3"/>
  <c r="N15" i="3"/>
  <c r="L15" i="3"/>
  <c r="A15" i="3"/>
  <c r="N14" i="3"/>
  <c r="L14" i="3"/>
  <c r="A14" i="3"/>
  <c r="N13" i="3"/>
  <c r="L13" i="3"/>
  <c r="A13" i="3"/>
  <c r="N12" i="3"/>
  <c r="L12" i="3"/>
  <c r="A12" i="3"/>
  <c r="N11" i="3"/>
  <c r="L11" i="3"/>
  <c r="A11" i="3"/>
  <c r="N10" i="3"/>
  <c r="L10" i="3"/>
  <c r="A10" i="3"/>
  <c r="N9" i="3"/>
  <c r="L9" i="3"/>
  <c r="A9" i="3"/>
  <c r="N8" i="3"/>
  <c r="L8" i="3"/>
  <c r="N7" i="3"/>
  <c r="L7" i="3"/>
  <c r="A7" i="3"/>
  <c r="N6" i="3"/>
  <c r="L6" i="3"/>
  <c r="A6" i="3"/>
  <c r="L5" i="3"/>
  <c r="C40" i="1"/>
  <c r="C38" i="1"/>
  <c r="C37" i="1"/>
  <c r="C35" i="1"/>
  <c r="C34" i="1"/>
  <c r="C33" i="1"/>
  <c r="C32" i="1"/>
  <c r="C31" i="1"/>
  <c r="C30" i="1"/>
  <c r="C29" i="1"/>
  <c r="C28" i="1"/>
  <c r="C23" i="1"/>
  <c r="C22" i="1"/>
  <c r="C21" i="1"/>
  <c r="C20" i="1"/>
  <c r="C19" i="1"/>
  <c r="C18" i="1"/>
  <c r="C17" i="1"/>
  <c r="C16" i="1"/>
  <c r="C15" i="1"/>
  <c r="C14" i="1"/>
  <c r="C13" i="1"/>
  <c r="D10" i="1"/>
  <c r="E10" i="1" s="1"/>
  <c r="D9" i="1"/>
  <c r="E9" i="1" s="1"/>
  <c r="D8" i="1"/>
  <c r="E8" i="1" s="1"/>
  <c r="D7" i="1"/>
  <c r="E7" i="1" s="1"/>
  <c r="E1" i="1"/>
  <c r="C24" i="1" l="1"/>
  <c r="A8" i="3"/>
  <c r="D6" i="1"/>
  <c r="E6" i="1" s="1"/>
  <c r="C25" i="1"/>
  <c r="Q86" i="4"/>
</calcChain>
</file>

<file path=xl/sharedStrings.xml><?xml version="1.0" encoding="utf-8"?>
<sst xmlns="http://schemas.openxmlformats.org/spreadsheetml/2006/main" count="224" uniqueCount="166">
  <si>
    <t>DASHBOARD LAMARAN &amp; FREELANCE</t>
  </si>
  <si>
    <t>Semua angka formula otomatis dari sheet Full-Time &amp; Freelance. Target diisi manual (sel kuning).</t>
  </si>
  <si>
    <t>TARGET (isi manual di sel kuning)</t>
  </si>
  <si>
    <t>Metrik</t>
  </si>
  <si>
    <t>Target</t>
  </si>
  <si>
    <t>Aktual</t>
  </si>
  <si>
    <t>Progress</t>
  </si>
  <si>
    <t>Perusahaan dilamar</t>
  </si>
  <si>
    <t>Total lamaran terkirim</t>
  </si>
  <si>
    <t>Masuk tahap interview</t>
  </si>
  <si>
    <t>Interview HR ke atas (status saat ini)</t>
  </si>
  <si>
    <t>Lolos ke interview ke-2</t>
  </si>
  <si>
    <t>Interview User / Final / Test / Offer</t>
  </si>
  <si>
    <t>Offer diterima</t>
  </si>
  <si>
    <t>Target minimal 1</t>
  </si>
  <si>
    <t>Freelance closing (Deal ke atas)</t>
  </si>
  <si>
    <t>Target minimal 1 project masuk</t>
  </si>
  <si>
    <t>FUNNEL FULL-TIME</t>
  </si>
  <si>
    <t>Wishlist</t>
  </si>
  <si>
    <t>Apply</t>
  </si>
  <si>
    <t>Screening HR</t>
  </si>
  <si>
    <t>Interview HR</t>
  </si>
  <si>
    <t>Interview User</t>
  </si>
  <si>
    <t>Interview Final</t>
  </si>
  <si>
    <t>Technical Test</t>
  </si>
  <si>
    <t>Offer</t>
  </si>
  <si>
    <t>Diterima</t>
  </si>
  <si>
    <t>Ditolak</t>
  </si>
  <si>
    <t>Ghosting</t>
  </si>
  <si>
    <t>Response rate (dibalas / dilamar)</t>
  </si>
  <si>
    <t>Yang lanjut proses dibagi total lamaran</t>
  </si>
  <si>
    <t>Lamaran nganggur &gt;14 hari</t>
  </si>
  <si>
    <t>Waktunya follow up</t>
  </si>
  <si>
    <t>PIPELINE FREELANCE</t>
  </si>
  <si>
    <t>Lead</t>
  </si>
  <si>
    <t>Proposal Terkirim</t>
  </si>
  <si>
    <t>Negosiasi</t>
  </si>
  <si>
    <t>Deal / DP</t>
  </si>
  <si>
    <t>Dikerjakan</t>
  </si>
  <si>
    <t>Selesai</t>
  </si>
  <si>
    <t>Batal</t>
  </si>
  <si>
    <t>Total nilai pipeline (Rp)</t>
  </si>
  <si>
    <t>Semua project apapun statusnya</t>
  </si>
  <si>
    <t>Nilai tertimbang / weighted (Rp)</t>
  </si>
  <si>
    <t>Nilai x probabilitas</t>
  </si>
  <si>
    <t>Nilai sudah closing (Rp)</t>
  </si>
  <si>
    <t>Yang udah deal</t>
  </si>
  <si>
    <t>Uang sudah masuk (Rp)</t>
  </si>
  <si>
    <t>Pembayaran diterima</t>
  </si>
  <si>
    <t>Sisa tagihan (Rp)</t>
  </si>
  <si>
    <t>Belum dibayar klien</t>
  </si>
  <si>
    <t>Win rate freelance</t>
  </si>
  <si>
    <t>Closing dibagi proposal yang keluar</t>
  </si>
  <si>
    <t>CARA PAKAI</t>
  </si>
  <si>
    <t>1. Tiap lamaran baru -&gt; tambah 1 baris di sheet Full-Time, isi minimal Tgl Apply, Perusahaan, Posisi, Status.</t>
  </si>
  <si>
    <t>2. Kolom Status pakai dropdown. Update status tiap ada kabar, jangan lupa isi Tgl Update Terakhir.</t>
  </si>
  <si>
    <t>3. Kolom kuning di Dashboard = target, ubah sesuai kebutuhan. Kolom abu-abu di sheet lain = formula, jangan ditimpa.</t>
  </si>
  <si>
    <t>4. Sheet Freelance: isi Nilai Penawaran + Probabilitas (50% dst) biar weighted value kebaca.</t>
  </si>
  <si>
    <t>5. Warna merah di kolom Tgl Follow-up = udah lewat tanggal. Kuning di Umur = nganggur &gt;14 hari.</t>
  </si>
  <si>
    <t>6. Baris contoh (abu-abu miring) boleh dihapus atau ditimpa.</t>
  </si>
  <si>
    <t>7. Edit daftar dropdown lewat sheet Lists.</t>
  </si>
  <si>
    <t>Status Fulltime</t>
  </si>
  <si>
    <t>Sumber</t>
  </si>
  <si>
    <t>Tipe Kerja</t>
  </si>
  <si>
    <t>Prioritas</t>
  </si>
  <si>
    <t>Status Freelance</t>
  </si>
  <si>
    <t>Sumber Freelance</t>
  </si>
  <si>
    <t>Status Bayar</t>
  </si>
  <si>
    <t>Stack</t>
  </si>
  <si>
    <t>LinkedIn</t>
  </si>
  <si>
    <t>WFO</t>
  </si>
  <si>
    <t>Tinggi</t>
  </si>
  <si>
    <t>Referral</t>
  </si>
  <si>
    <t>Belum Ditagih</t>
  </si>
  <si>
    <t>Laravel</t>
  </si>
  <si>
    <t>JobStreet</t>
  </si>
  <si>
    <t>WFH / Remote</t>
  </si>
  <si>
    <t>Sedang</t>
  </si>
  <si>
    <t>Upwork</t>
  </si>
  <si>
    <t>Invoice Terkirim</t>
  </si>
  <si>
    <t>Golang</t>
  </si>
  <si>
    <t>Glints</t>
  </si>
  <si>
    <t>Hybrid</t>
  </si>
  <si>
    <t>Rendah</t>
  </si>
  <si>
    <t>Fiverr</t>
  </si>
  <si>
    <t>DP Masuk</t>
  </si>
  <si>
    <t>Next.js</t>
  </si>
  <si>
    <t>Kalibrr</t>
  </si>
  <si>
    <t>Sribulancer</t>
  </si>
  <si>
    <t>Lunas</t>
  </si>
  <si>
    <t>React</t>
  </si>
  <si>
    <t>Dealls</t>
  </si>
  <si>
    <t>Projects.co.id</t>
  </si>
  <si>
    <t>Telat Bayar</t>
  </si>
  <si>
    <t>Fullstack</t>
  </si>
  <si>
    <t>Website Perusahaan</t>
  </si>
  <si>
    <t>Review Klien</t>
  </si>
  <si>
    <t>Macet</t>
  </si>
  <si>
    <t>API / Backend</t>
  </si>
  <si>
    <t>Komunitas / Discord</t>
  </si>
  <si>
    <t>Landing Page</t>
  </si>
  <si>
    <t>Recruiter DM</t>
  </si>
  <si>
    <t>Teman / Eks Kantor</t>
  </si>
  <si>
    <t>Maintenance</t>
  </si>
  <si>
    <t>Job Fair</t>
  </si>
  <si>
    <t>Lainnya</t>
  </si>
  <si>
    <t>Withdraw</t>
  </si>
  <si>
    <t>TRACKER LAMARAN FULL-TIME</t>
  </si>
  <si>
    <t>Isi kolom putih. Kolom abu-abu (Umur) formula otomatis. Baris 5 = contoh, hapus/timpa aja.</t>
  </si>
  <si>
    <t>No</t>
  </si>
  <si>
    <t>Tgl Apply</t>
  </si>
  <si>
    <t>Perusahaan</t>
  </si>
  <si>
    <t>Posisi</t>
  </si>
  <si>
    <t>Lokasi</t>
  </si>
  <si>
    <t>Link Lowongan</t>
  </si>
  <si>
    <t>Ekspektasi Gaji (Rp)</t>
  </si>
  <si>
    <t>Status</t>
  </si>
  <si>
    <t>Tahap Ke-</t>
  </si>
  <si>
    <t>Tgl Update Terakhir</t>
  </si>
  <si>
    <t>Umur (hari)</t>
  </si>
  <si>
    <t>Next Action</t>
  </si>
  <si>
    <t>Tgl Follow-up</t>
  </si>
  <si>
    <t>Kontak (nama / email)</t>
  </si>
  <si>
    <t>Catatan</t>
  </si>
  <si>
    <t>TRACKER PROJECT FREELANCE</t>
  </si>
  <si>
    <t>Isi kolom putih. Kolom abu-abu (Nilai Tertimbang, Sisa Tagihan) formula otomatis. Baris 5 = contoh.</t>
  </si>
  <si>
    <t>Tgl Masuk Lead</t>
  </si>
  <si>
    <t>Klien</t>
  </si>
  <si>
    <t>Nama Project</t>
  </si>
  <si>
    <t>Scope Singkat</t>
  </si>
  <si>
    <t>Nilai Penawaran (Rp)</t>
  </si>
  <si>
    <t>Probabilitas</t>
  </si>
  <si>
    <t>Nilai Tertimbang (Rp)</t>
  </si>
  <si>
    <t>Deadline Proposal</t>
  </si>
  <si>
    <t>Tgl Mulai</t>
  </si>
  <si>
    <t>Deadline Project</t>
  </si>
  <si>
    <t>Sudah Dibayar (Rp)</t>
  </si>
  <si>
    <t>Sisa Tagihan (Rp)</t>
  </si>
  <si>
    <t>2026-09-10</t>
  </si>
  <si>
    <t>Toko Berkah Jaya</t>
  </si>
  <si>
    <t>Company profile + katalog produk</t>
  </si>
  <si>
    <t>Landing page 5 halaman + CMS sederhana</t>
  </si>
  <si>
    <t>2026-09-25</t>
  </si>
  <si>
    <t>2026-10-20</t>
  </si>
  <si>
    <t>Follow up proposal H+3</t>
  </si>
  <si>
    <t>Budget klien masih nego di 10jt</t>
  </si>
  <si>
    <t>TOTAL</t>
  </si>
  <si>
    <t>PHP Developer</t>
  </si>
  <si>
    <t>PT Primagraha Keramindo</t>
  </si>
  <si>
    <t>Jakarta Barat, Jakarta Raya</t>
  </si>
  <si>
    <t>https://id.jobstreet.com/id/job/94521495?ref=applied</t>
  </si>
  <si>
    <t>IT Web Developer</t>
  </si>
  <si>
    <t>Karyamas Plantation</t>
  </si>
  <si>
    <t>Jakarta Pusat, Jakarta Raya</t>
  </si>
  <si>
    <t>https://id.jobstreet.com/id/job/94632028?ref=applied</t>
  </si>
  <si>
    <t>Full Stack Web Developer</t>
  </si>
  <si>
    <t>Jakarta Selatan, Jakarta Raya</t>
  </si>
  <si>
    <t>https://id.jobstreet.com/id/my-activity/applied-jobs/94625401</t>
  </si>
  <si>
    <t>Jual Emas Indonesia</t>
  </si>
  <si>
    <t>IT Staff - Full Stack</t>
  </si>
  <si>
    <t>Jakarta Raya</t>
  </si>
  <si>
    <t>https://id.jobstreet.com/id/my-activity/applied-jobs/94496636</t>
  </si>
  <si>
    <t>PT DWIDA AGRO TAMA</t>
  </si>
  <si>
    <t>PT China Taiping Insurance Indonesia</t>
  </si>
  <si>
    <t>IT DEVELOPER</t>
  </si>
  <si>
    <t>https://id.jobstreet.com/id/job/94552212?ref=applied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</si>
</sst>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;\-#,##0;\-"/>
  </numFmts>
  <fonts count="14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0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sz val="9"/>
      <color rgb="FF404040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D9E2F3"/>
        <bgColor rgb="FFE7E6E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375623"/>
        <bgColor rgb="FF40404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7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1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6" fillId="3" borderId="0" xfId="0" applyFont="1" applyFill="1"/>
    <xf numFmtId="0" fontId="10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/>
    </xf>
    <xf numFmtId="0" fontId="6" fillId="0" borderId="0" xfId="0" applyFont="1"/>
    <xf numFmtId="165" fontId="6" fillId="3" borderId="0" xfId="0" applyNumberFormat="1" applyFont="1" applyFill="1"/>
    <xf numFmtId="14" fontId="11" fillId="0" borderId="1" xfId="0" applyNumberFormat="1" applyFont="1" applyBorder="1" applyAlignment="1">
      <alignment horizontal="center" vertical="center"/>
    </xf>
    <xf numFmtId="0" fontId="12" fillId="0" borderId="1" xfId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13" fillId="0" borderId="1" xfId="0" applyFont="1" applyBorder="1"/>
  </cellXfs>
  <cellStyles count="2">
    <cellStyle name="Hyperlink" xfId="1" builtinId="8"/>
    <cellStyle name="Normal" xfId="0" builtinId="0"/>
  </cellStyles>
  <dxfs count="12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A9D08E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A9D08E"/>
        </patternFill>
      </fill>
    </dxf>
    <dxf>
      <fill>
        <patternFill>
          <bgColor rgb="FFC6E0B4"/>
        </patternFill>
      </fill>
    </dxf>
    <dxf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0B4"/>
      <rgbColor rgb="FFFFE699"/>
      <rgbColor rgb="FFA9D08E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2F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id.jobstreet.com/id/job/94632028?ref=applied" TargetMode="External"/><Relationship Id="rId1" Type="http://schemas.openxmlformats.org/officeDocument/2006/relationships/hyperlink" Target="https://id.jobstreet.com/id/job/94521495?ref=appli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zoomScaleNormal="100" workbookViewId="0">
      <selection activeCell="F50" sqref="F50"/>
    </sheetView>
  </sheetViews>
  <sheetFormatPr defaultColWidth="8.7109375" defaultRowHeight="15" x14ac:dyDescent="0.25"/>
  <cols>
    <col min="1" max="1" width="4" customWidth="1"/>
    <col min="2" max="2" width="34" customWidth="1"/>
    <col min="3" max="5" width="14" customWidth="1"/>
    <col min="6" max="6" width="40" customWidth="1"/>
  </cols>
  <sheetData>
    <row r="1" spans="1:6" ht="18" x14ac:dyDescent="0.25">
      <c r="A1" s="1" t="s">
        <v>0</v>
      </c>
      <c r="B1" s="2"/>
      <c r="C1" s="2"/>
      <c r="D1" s="2"/>
      <c r="E1" s="3">
        <f ca="1">TODAY()</f>
        <v>46284</v>
      </c>
      <c r="F1" s="2"/>
    </row>
    <row r="2" spans="1:6" x14ac:dyDescent="0.25">
      <c r="A2" s="4" t="s">
        <v>1</v>
      </c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5" t="s">
        <v>2</v>
      </c>
      <c r="C4" s="5"/>
      <c r="D4" s="5"/>
      <c r="E4" s="5"/>
      <c r="F4" s="5"/>
    </row>
    <row r="5" spans="1:6" x14ac:dyDescent="0.25">
      <c r="A5" s="2"/>
      <c r="B5" s="6" t="s">
        <v>3</v>
      </c>
      <c r="C5" s="7" t="s">
        <v>4</v>
      </c>
      <c r="D5" s="7" t="s">
        <v>5</v>
      </c>
      <c r="E5" s="7" t="s">
        <v>6</v>
      </c>
      <c r="F5" s="8"/>
    </row>
    <row r="6" spans="1:6" x14ac:dyDescent="0.25">
      <c r="A6" s="2"/>
      <c r="B6" s="9" t="s">
        <v>7</v>
      </c>
      <c r="C6" s="10">
        <v>5</v>
      </c>
      <c r="D6" s="11">
        <f>COUNTA('Full-Time'!$C$5:$C$124)-COUNTIF('Full-Time'!$K$5:$K$124,"Wishlist")</f>
        <v>5</v>
      </c>
      <c r="E6" s="12">
        <f>IF($C6=0,"",$D6/$C6)</f>
        <v>1</v>
      </c>
      <c r="F6" s="13" t="s">
        <v>8</v>
      </c>
    </row>
    <row r="7" spans="1:6" x14ac:dyDescent="0.25">
      <c r="A7" s="2"/>
      <c r="B7" s="9" t="s">
        <v>9</v>
      </c>
      <c r="C7" s="10">
        <v>3</v>
      </c>
      <c r="D7" s="11">
        <f>SUMPRODUCT(--('Full-Time'!$K$5:$K$124&lt;&gt;""),--('Full-Time'!$K$5:$K$124&lt;&gt;"Wishlist"),--('Full-Time'!$K$5:$K$124&lt;&gt;"Apply"),--('Full-Time'!$K$5:$K$124&lt;&gt;"Screening HR"),--('Full-Time'!$K$5:$K$124&lt;&gt;"Ditolak"),--('Full-Time'!$K$5:$K$124&lt;&gt;"Ghosting"))+COUNTIF('Full-Time'!$K$5:$K$124,"Ditolak")*0</f>
        <v>0</v>
      </c>
      <c r="E7" s="12">
        <f>IF($C7=0,"",$D7/$C7)</f>
        <v>0</v>
      </c>
      <c r="F7" s="13" t="s">
        <v>10</v>
      </c>
    </row>
    <row r="8" spans="1:6" x14ac:dyDescent="0.25">
      <c r="A8" s="2"/>
      <c r="B8" s="9" t="s">
        <v>11</v>
      </c>
      <c r="C8" s="10">
        <v>2</v>
      </c>
      <c r="D8" s="11">
        <f>COUNTIF('Full-Time'!$K$5:$K$124,"Interview User")+COUNTIF('Full-Time'!$K$5:$K$124,"Interview Final")+COUNTIF('Full-Time'!$K$5:$K$124,"Technical Test")+COUNTIF('Full-Time'!$K$5:$K$124,"Offer")+COUNTIF('Full-Time'!$K$5:$K$124,"Diterima")</f>
        <v>0</v>
      </c>
      <c r="E8" s="12">
        <f>IF($C8=0,"",$D8/$C8)</f>
        <v>0</v>
      </c>
      <c r="F8" s="13" t="s">
        <v>12</v>
      </c>
    </row>
    <row r="9" spans="1:6" x14ac:dyDescent="0.25">
      <c r="A9" s="2"/>
      <c r="B9" s="39" t="s">
        <v>13</v>
      </c>
      <c r="C9" s="10">
        <v>1</v>
      </c>
      <c r="D9" s="11">
        <f>COUNTIF('Full-Time'!$K$5:$K$124,"Offer")+COUNTIF('Full-Time'!$K$5:$K$124,"Diterima")</f>
        <v>0</v>
      </c>
      <c r="E9" s="12">
        <f>IF($C9=0,"",$D9/$C9)</f>
        <v>0</v>
      </c>
      <c r="F9" s="13" t="s">
        <v>14</v>
      </c>
    </row>
    <row r="10" spans="1:6" x14ac:dyDescent="0.25">
      <c r="A10" s="2"/>
      <c r="B10" s="9" t="s">
        <v>15</v>
      </c>
      <c r="C10" s="10">
        <v>1</v>
      </c>
      <c r="D10" s="11">
        <f>COUNTIF(Freelance!$I$5:$I$84,"Deal / DP")+COUNTIF(Freelance!$I$5:$I$84,"Dikerjakan")+COUNTIF(Freelance!$I$5:$I$84,"Review Klien")+COUNTIF(Freelance!$I$5:$I$84,"Selesai")</f>
        <v>0</v>
      </c>
      <c r="E10" s="12">
        <f>IF($C10=0,"",$D10/$C10)</f>
        <v>0</v>
      </c>
      <c r="F10" s="13" t="s">
        <v>16</v>
      </c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5" t="s">
        <v>17</v>
      </c>
      <c r="C12" s="5"/>
      <c r="D12" s="5"/>
      <c r="E12" s="5"/>
      <c r="F12" s="5"/>
    </row>
    <row r="13" spans="1:6" x14ac:dyDescent="0.25">
      <c r="A13" s="2"/>
      <c r="B13" s="9" t="s">
        <v>18</v>
      </c>
      <c r="C13" s="14">
        <f>COUNTIF('Full-Time'!$K$5:$K$124,"Wishlist")</f>
        <v>0</v>
      </c>
      <c r="D13" s="2"/>
      <c r="E13" s="2"/>
      <c r="F13" s="4"/>
    </row>
    <row r="14" spans="1:6" x14ac:dyDescent="0.25">
      <c r="A14" s="2"/>
      <c r="B14" s="9" t="s">
        <v>19</v>
      </c>
      <c r="C14" s="14">
        <f>COUNTIF('Full-Time'!$K$5:$K$124,"Apply")</f>
        <v>5</v>
      </c>
      <c r="D14" s="2"/>
      <c r="E14" s="2"/>
      <c r="F14" s="4"/>
    </row>
    <row r="15" spans="1:6" x14ac:dyDescent="0.25">
      <c r="A15" s="2"/>
      <c r="B15" s="9" t="s">
        <v>20</v>
      </c>
      <c r="C15" s="14">
        <f>COUNTIF('Full-Time'!$K$5:$K$124,"Screening HR")</f>
        <v>0</v>
      </c>
      <c r="D15" s="2"/>
      <c r="E15" s="2"/>
      <c r="F15" s="4"/>
    </row>
    <row r="16" spans="1:6" x14ac:dyDescent="0.25">
      <c r="A16" s="2"/>
      <c r="B16" s="9" t="s">
        <v>21</v>
      </c>
      <c r="C16" s="14">
        <f>COUNTIF('Full-Time'!$K$5:$K$124,"Interview HR")</f>
        <v>0</v>
      </c>
      <c r="D16" s="2"/>
      <c r="E16" s="2"/>
      <c r="F16" s="4"/>
    </row>
    <row r="17" spans="1:6" x14ac:dyDescent="0.25">
      <c r="A17" s="2"/>
      <c r="B17" s="9" t="s">
        <v>22</v>
      </c>
      <c r="C17" s="14">
        <f>COUNTIF('Full-Time'!$K$5:$K$124,"Interview User")</f>
        <v>0</v>
      </c>
      <c r="D17" s="2"/>
      <c r="E17" s="2"/>
      <c r="F17" s="4"/>
    </row>
    <row r="18" spans="1:6" x14ac:dyDescent="0.25">
      <c r="A18" s="2"/>
      <c r="B18" s="9" t="s">
        <v>23</v>
      </c>
      <c r="C18" s="14">
        <f>COUNTIF('Full-Time'!$K$5:$K$124,"Interview Final")</f>
        <v>0</v>
      </c>
      <c r="D18" s="2"/>
      <c r="E18" s="2"/>
      <c r="F18" s="4"/>
    </row>
    <row r="19" spans="1:6" x14ac:dyDescent="0.25">
      <c r="A19" s="2"/>
      <c r="B19" s="9" t="s">
        <v>24</v>
      </c>
      <c r="C19" s="14">
        <f>COUNTIF('Full-Time'!$K$5:$K$124,"Technical Test")</f>
        <v>0</v>
      </c>
      <c r="D19" s="2"/>
      <c r="E19" s="2"/>
      <c r="F19" s="4"/>
    </row>
    <row r="20" spans="1:6" x14ac:dyDescent="0.25">
      <c r="A20" s="2"/>
      <c r="B20" s="9" t="s">
        <v>25</v>
      </c>
      <c r="C20" s="14">
        <f>COUNTIF('Full-Time'!$K$5:$K$124,"Offer")</f>
        <v>0</v>
      </c>
      <c r="D20" s="2"/>
      <c r="E20" s="2"/>
      <c r="F20" s="4"/>
    </row>
    <row r="21" spans="1:6" x14ac:dyDescent="0.25">
      <c r="A21" s="2"/>
      <c r="B21" s="9" t="s">
        <v>26</v>
      </c>
      <c r="C21" s="14">
        <f>COUNTIF('Full-Time'!$K$5:$K$124,"Diterima")</f>
        <v>0</v>
      </c>
      <c r="D21" s="2"/>
      <c r="E21" s="2"/>
      <c r="F21" s="4"/>
    </row>
    <row r="22" spans="1:6" x14ac:dyDescent="0.25">
      <c r="A22" s="2"/>
      <c r="B22" s="9" t="s">
        <v>27</v>
      </c>
      <c r="C22" s="14">
        <f>COUNTIF('Full-Time'!$K$5:$K$124,"Ditolak")</f>
        <v>0</v>
      </c>
      <c r="D22" s="2"/>
      <c r="E22" s="2"/>
      <c r="F22" s="4"/>
    </row>
    <row r="23" spans="1:6" x14ac:dyDescent="0.25">
      <c r="A23" s="2"/>
      <c r="B23" s="9" t="s">
        <v>28</v>
      </c>
      <c r="C23" s="14">
        <f>COUNTIF('Full-Time'!$K$5:$K$124,"Ghosting")</f>
        <v>0</v>
      </c>
      <c r="D23" s="2"/>
      <c r="E23" s="2"/>
      <c r="F23" s="4"/>
    </row>
    <row r="24" spans="1:6" x14ac:dyDescent="0.25">
      <c r="A24" s="2"/>
      <c r="B24" s="9" t="s">
        <v>29</v>
      </c>
      <c r="C24" s="15">
        <f>IFERROR((COUNTA('Full-Time'!$C$5:$C$124)-COUNTIF('Full-Time'!$K$5:$K$124,"Wishlist")-COUNTIF('Full-Time'!$K$5:$K$124,"Apply")-COUNTIF('Full-Time'!$K$5:$K$124,"Ghosting"))/(COUNTA('Full-Time'!$C$5:$C$124)-COUNTIF('Full-Time'!$K$5:$K$124,"Wishlist")),"")</f>
        <v>0</v>
      </c>
      <c r="D24" s="2"/>
      <c r="E24" s="2"/>
      <c r="F24" s="4" t="s">
        <v>30</v>
      </c>
    </row>
    <row r="25" spans="1:6" x14ac:dyDescent="0.25">
      <c r="A25" s="2"/>
      <c r="B25" s="9" t="s">
        <v>31</v>
      </c>
      <c r="C25" s="14">
        <f ca="1">SUMPRODUCT(--('Full-Time'!$N$5:$N$124&lt;&gt;""),--('Full-Time'!$N$5:$N$124&gt;14),(('Full-Time'!$K$5:$K$124="Apply")+('Full-Time'!$K$5:$K$124="Screening HR")))</f>
        <v>0</v>
      </c>
      <c r="D25" s="2"/>
      <c r="E25" s="2"/>
      <c r="F25" s="4" t="s">
        <v>32</v>
      </c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5" t="s">
        <v>33</v>
      </c>
      <c r="C27" s="5"/>
      <c r="D27" s="5"/>
      <c r="E27" s="5"/>
      <c r="F27" s="5"/>
    </row>
    <row r="28" spans="1:6" x14ac:dyDescent="0.25">
      <c r="A28" s="2"/>
      <c r="B28" s="9" t="s">
        <v>34</v>
      </c>
      <c r="C28" s="14">
        <f>COUNTIF(Freelance!$I$5:$I$84,"Lead")</f>
        <v>0</v>
      </c>
      <c r="D28" s="2"/>
      <c r="E28" s="2"/>
      <c r="F28" s="4"/>
    </row>
    <row r="29" spans="1:6" x14ac:dyDescent="0.25">
      <c r="A29" s="2"/>
      <c r="B29" s="9" t="s">
        <v>35</v>
      </c>
      <c r="C29" s="14">
        <f>COUNTIF(Freelance!$I$5:$I$84,"Proposal Terkirim")</f>
        <v>1</v>
      </c>
      <c r="D29" s="2"/>
      <c r="E29" s="2"/>
      <c r="F29" s="4"/>
    </row>
    <row r="30" spans="1:6" x14ac:dyDescent="0.25">
      <c r="A30" s="2"/>
      <c r="B30" s="9" t="s">
        <v>36</v>
      </c>
      <c r="C30" s="14">
        <f>COUNTIF(Freelance!$I$5:$I$84,"Negosiasi")</f>
        <v>0</v>
      </c>
      <c r="D30" s="2"/>
      <c r="E30" s="2"/>
      <c r="F30" s="4"/>
    </row>
    <row r="31" spans="1:6" x14ac:dyDescent="0.25">
      <c r="A31" s="2"/>
      <c r="B31" s="9" t="s">
        <v>37</v>
      </c>
      <c r="C31" s="14">
        <f>COUNTIF(Freelance!$I$5:$I$84,"Deal / DP")</f>
        <v>0</v>
      </c>
      <c r="D31" s="2"/>
      <c r="E31" s="2"/>
      <c r="F31" s="4"/>
    </row>
    <row r="32" spans="1:6" x14ac:dyDescent="0.25">
      <c r="A32" s="2"/>
      <c r="B32" s="9" t="s">
        <v>38</v>
      </c>
      <c r="C32" s="14">
        <f>COUNTIF(Freelance!$I$5:$I$84,"Dikerjakan")</f>
        <v>0</v>
      </c>
      <c r="D32" s="2"/>
      <c r="E32" s="2"/>
      <c r="F32" s="4"/>
    </row>
    <row r="33" spans="1:6" x14ac:dyDescent="0.25">
      <c r="A33" s="2"/>
      <c r="B33" s="9" t="s">
        <v>39</v>
      </c>
      <c r="C33" s="14">
        <f>COUNTIF(Freelance!$I$5:$I$84,"Selesai")</f>
        <v>0</v>
      </c>
      <c r="D33" s="2"/>
      <c r="E33" s="2"/>
      <c r="F33" s="4"/>
    </row>
    <row r="34" spans="1:6" x14ac:dyDescent="0.25">
      <c r="A34" s="2"/>
      <c r="B34" s="9" t="s">
        <v>40</v>
      </c>
      <c r="C34" s="14">
        <f>COUNTIF(Freelance!$I$5:$I$84,"Batal")</f>
        <v>0</v>
      </c>
      <c r="D34" s="2"/>
      <c r="E34" s="2"/>
      <c r="F34" s="4"/>
    </row>
    <row r="35" spans="1:6" x14ac:dyDescent="0.25">
      <c r="A35" s="2"/>
      <c r="B35" s="9" t="s">
        <v>41</v>
      </c>
      <c r="C35" s="16">
        <f>SUM(Freelance!$H$5:$H$84)</f>
        <v>12000000</v>
      </c>
      <c r="D35" s="2"/>
      <c r="E35" s="2"/>
      <c r="F35" s="4" t="s">
        <v>42</v>
      </c>
    </row>
    <row r="36" spans="1:6" x14ac:dyDescent="0.25">
      <c r="A36" s="2"/>
      <c r="B36" s="9" t="s">
        <v>43</v>
      </c>
      <c r="C36" s="16">
        <f>SUM(Freelance!$K$5:$K$84)</f>
        <v>6000000</v>
      </c>
      <c r="D36" s="2"/>
      <c r="E36" s="2"/>
      <c r="F36" s="4" t="s">
        <v>44</v>
      </c>
    </row>
    <row r="37" spans="1:6" x14ac:dyDescent="0.25">
      <c r="A37" s="2"/>
      <c r="B37" s="9" t="s">
        <v>45</v>
      </c>
      <c r="C37" s="16">
        <f>SUMIF(Freelance!$I$5:$I$84,"Deal / DP",Freelance!$H$5:$H$84)+SUMIF(Freelance!$I$5:$I$84,"Dikerjakan",Freelance!$H$5:$H$84)+SUMIF(Freelance!$I$5:$I$84,"Review Klien",Freelance!$H$5:$H$84)+SUMIF(Freelance!$I$5:$I$84,"Selesai",Freelance!$H$5:$H$84)</f>
        <v>0</v>
      </c>
      <c r="D37" s="2"/>
      <c r="E37" s="2"/>
      <c r="F37" s="4" t="s">
        <v>46</v>
      </c>
    </row>
    <row r="38" spans="1:6" x14ac:dyDescent="0.25">
      <c r="A38" s="2"/>
      <c r="B38" s="9" t="s">
        <v>47</v>
      </c>
      <c r="C38" s="16">
        <f>SUM(Freelance!$P$5:$P$84)</f>
        <v>0</v>
      </c>
      <c r="D38" s="2"/>
      <c r="E38" s="2"/>
      <c r="F38" s="4" t="s">
        <v>48</v>
      </c>
    </row>
    <row r="39" spans="1:6" x14ac:dyDescent="0.25">
      <c r="A39" s="2"/>
      <c r="B39" s="9" t="s">
        <v>49</v>
      </c>
      <c r="C39" s="16">
        <f>SUM(Freelance!$Q$5:$Q$84)</f>
        <v>12000000</v>
      </c>
      <c r="D39" s="2"/>
      <c r="E39" s="2"/>
      <c r="F39" s="4" t="s">
        <v>50</v>
      </c>
    </row>
    <row r="40" spans="1:6" x14ac:dyDescent="0.25">
      <c r="A40" s="2"/>
      <c r="B40" s="9" t="s">
        <v>51</v>
      </c>
      <c r="C40" s="15">
        <f>IFERROR((COUNTIF(Freelance!$I$5:$I$84,"Deal / DP")+COUNTIF(Freelance!$I$5:$I$84,"Dikerjakan")+COUNTIF(Freelance!$I$5:$I$84,"Review Klien")+COUNTIF(Freelance!$I$5:$I$84,"Selesai"))/(COUNTA(Freelance!$C$5:$C$84)-COUNTIF(Freelance!$I$5:$I$84,"Lead")),"")</f>
        <v>0</v>
      </c>
      <c r="D40" s="2"/>
      <c r="E40" s="2"/>
      <c r="F40" s="4" t="s">
        <v>52</v>
      </c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5" t="s">
        <v>53</v>
      </c>
      <c r="C42" s="5"/>
      <c r="D42" s="5"/>
      <c r="E42" s="5"/>
      <c r="F42" s="5"/>
    </row>
    <row r="43" spans="1:6" x14ac:dyDescent="0.25">
      <c r="A43" s="2"/>
      <c r="B43" s="17" t="s">
        <v>54</v>
      </c>
      <c r="C43" s="2"/>
      <c r="D43" s="2"/>
      <c r="E43" s="2"/>
      <c r="F43" s="2"/>
    </row>
    <row r="44" spans="1:6" x14ac:dyDescent="0.25">
      <c r="A44" s="2"/>
      <c r="B44" s="17" t="s">
        <v>55</v>
      </c>
      <c r="C44" s="2"/>
      <c r="D44" s="2"/>
      <c r="E44" s="2"/>
      <c r="F44" s="2"/>
    </row>
    <row r="45" spans="1:6" x14ac:dyDescent="0.25">
      <c r="A45" s="2"/>
      <c r="B45" s="17" t="s">
        <v>56</v>
      </c>
      <c r="C45" s="2"/>
      <c r="D45" s="2"/>
      <c r="E45" s="2"/>
      <c r="F45" s="2"/>
    </row>
    <row r="46" spans="1:6" x14ac:dyDescent="0.25">
      <c r="A46" s="2"/>
      <c r="B46" s="17" t="s">
        <v>57</v>
      </c>
      <c r="C46" s="2"/>
      <c r="D46" s="2"/>
      <c r="E46" s="2"/>
      <c r="F46" s="2"/>
    </row>
    <row r="47" spans="1:6" x14ac:dyDescent="0.25">
      <c r="A47" s="2"/>
      <c r="B47" s="17" t="s">
        <v>58</v>
      </c>
      <c r="C47" s="2"/>
      <c r="D47" s="2"/>
      <c r="E47" s="2"/>
      <c r="F47" s="2"/>
    </row>
    <row r="48" spans="1:6" x14ac:dyDescent="0.25">
      <c r="A48" s="2"/>
      <c r="B48" s="17" t="s">
        <v>59</v>
      </c>
      <c r="C48" s="2"/>
      <c r="D48" s="2"/>
      <c r="E48" s="2"/>
      <c r="F48" s="2"/>
    </row>
    <row r="49" spans="1:6" x14ac:dyDescent="0.25">
      <c r="A49" s="2"/>
      <c r="B49" s="17" t="s">
        <v>60</v>
      </c>
      <c r="C49" s="2"/>
      <c r="D49" s="2"/>
      <c r="E49" s="2"/>
      <c r="F49" s="2"/>
    </row>
  </sheetData>
  <conditionalFormatting sqref="E6:E10">
    <cfRule type="cellIs" dxfId="11" priority="2" operator="greaterThanOr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zoomScaleNormal="100" workbookViewId="0"/>
  </sheetViews>
  <sheetFormatPr defaultColWidth="8.7109375" defaultRowHeight="15" x14ac:dyDescent="0.25"/>
  <cols>
    <col min="1" max="8" width="20" customWidth="1"/>
  </cols>
  <sheetData>
    <row r="1" spans="1:8" x14ac:dyDescent="0.25">
      <c r="A1" s="18" t="s">
        <v>61</v>
      </c>
      <c r="B1" s="18" t="s">
        <v>62</v>
      </c>
      <c r="C1" s="18" t="s">
        <v>63</v>
      </c>
      <c r="D1" s="18" t="s">
        <v>64</v>
      </c>
      <c r="E1" s="18" t="s">
        <v>65</v>
      </c>
      <c r="F1" s="18" t="s">
        <v>66</v>
      </c>
      <c r="G1" s="18" t="s">
        <v>67</v>
      </c>
      <c r="H1" s="18" t="s">
        <v>68</v>
      </c>
    </row>
    <row r="2" spans="1:8" x14ac:dyDescent="0.25">
      <c r="A2" s="2" t="s">
        <v>18</v>
      </c>
      <c r="B2" s="2" t="s">
        <v>69</v>
      </c>
      <c r="C2" s="2" t="s">
        <v>70</v>
      </c>
      <c r="D2" s="2" t="s">
        <v>71</v>
      </c>
      <c r="E2" s="2" t="s">
        <v>34</v>
      </c>
      <c r="F2" s="2" t="s">
        <v>72</v>
      </c>
      <c r="G2" s="2" t="s">
        <v>73</v>
      </c>
      <c r="H2" s="2" t="s">
        <v>74</v>
      </c>
    </row>
    <row r="3" spans="1:8" x14ac:dyDescent="0.25">
      <c r="A3" s="2" t="s">
        <v>19</v>
      </c>
      <c r="B3" s="2" t="s">
        <v>75</v>
      </c>
      <c r="C3" s="2" t="s">
        <v>76</v>
      </c>
      <c r="D3" s="2" t="s">
        <v>77</v>
      </c>
      <c r="E3" s="2" t="s">
        <v>35</v>
      </c>
      <c r="F3" s="2" t="s">
        <v>78</v>
      </c>
      <c r="G3" s="2" t="s">
        <v>79</v>
      </c>
      <c r="H3" s="2" t="s">
        <v>80</v>
      </c>
    </row>
    <row r="4" spans="1:8" x14ac:dyDescent="0.25">
      <c r="A4" s="2" t="s">
        <v>20</v>
      </c>
      <c r="B4" s="2" t="s">
        <v>81</v>
      </c>
      <c r="C4" s="2" t="s">
        <v>82</v>
      </c>
      <c r="D4" s="2" t="s">
        <v>83</v>
      </c>
      <c r="E4" s="2" t="s">
        <v>36</v>
      </c>
      <c r="F4" s="2" t="s">
        <v>84</v>
      </c>
      <c r="G4" s="2" t="s">
        <v>85</v>
      </c>
      <c r="H4" s="2" t="s">
        <v>86</v>
      </c>
    </row>
    <row r="5" spans="1:8" x14ac:dyDescent="0.25">
      <c r="A5" s="2" t="s">
        <v>21</v>
      </c>
      <c r="B5" s="2" t="s">
        <v>87</v>
      </c>
      <c r="E5" s="2" t="s">
        <v>37</v>
      </c>
      <c r="F5" s="2" t="s">
        <v>88</v>
      </c>
      <c r="G5" s="2" t="s">
        <v>89</v>
      </c>
      <c r="H5" s="2" t="s">
        <v>90</v>
      </c>
    </row>
    <row r="6" spans="1:8" x14ac:dyDescent="0.25">
      <c r="A6" s="2" t="s">
        <v>22</v>
      </c>
      <c r="B6" s="2" t="s">
        <v>91</v>
      </c>
      <c r="E6" s="2" t="s">
        <v>38</v>
      </c>
      <c r="F6" s="2" t="s">
        <v>92</v>
      </c>
      <c r="G6" s="2" t="s">
        <v>93</v>
      </c>
      <c r="H6" s="2" t="s">
        <v>94</v>
      </c>
    </row>
    <row r="7" spans="1:8" x14ac:dyDescent="0.25">
      <c r="A7" s="2" t="s">
        <v>23</v>
      </c>
      <c r="B7" s="2" t="s">
        <v>95</v>
      </c>
      <c r="E7" s="2" t="s">
        <v>96</v>
      </c>
      <c r="F7" s="2" t="s">
        <v>69</v>
      </c>
      <c r="G7" s="2" t="s">
        <v>97</v>
      </c>
      <c r="H7" s="2" t="s">
        <v>98</v>
      </c>
    </row>
    <row r="8" spans="1:8" x14ac:dyDescent="0.25">
      <c r="A8" s="2" t="s">
        <v>24</v>
      </c>
      <c r="B8" s="2" t="s">
        <v>72</v>
      </c>
      <c r="E8" s="2" t="s">
        <v>39</v>
      </c>
      <c r="F8" s="2" t="s">
        <v>99</v>
      </c>
      <c r="H8" s="2" t="s">
        <v>100</v>
      </c>
    </row>
    <row r="9" spans="1:8" x14ac:dyDescent="0.25">
      <c r="A9" s="2" t="s">
        <v>25</v>
      </c>
      <c r="B9" s="2" t="s">
        <v>101</v>
      </c>
      <c r="E9" s="2" t="s">
        <v>40</v>
      </c>
      <c r="F9" s="2" t="s">
        <v>102</v>
      </c>
      <c r="H9" s="2" t="s">
        <v>103</v>
      </c>
    </row>
    <row r="10" spans="1:8" x14ac:dyDescent="0.25">
      <c r="A10" s="2" t="s">
        <v>26</v>
      </c>
      <c r="B10" s="2" t="s">
        <v>104</v>
      </c>
      <c r="E10" s="2" t="s">
        <v>28</v>
      </c>
      <c r="F10" s="2" t="s">
        <v>105</v>
      </c>
      <c r="H10" s="2" t="s">
        <v>105</v>
      </c>
    </row>
    <row r="11" spans="1:8" x14ac:dyDescent="0.25">
      <c r="A11" s="2" t="s">
        <v>27</v>
      </c>
      <c r="B11" s="2" t="s">
        <v>105</v>
      </c>
    </row>
    <row r="12" spans="1:8" x14ac:dyDescent="0.25">
      <c r="A12" s="2" t="s">
        <v>28</v>
      </c>
    </row>
    <row r="13" spans="1:8" x14ac:dyDescent="0.25">
      <c r="A13" s="2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4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9" sqref="B9"/>
    </sheetView>
  </sheetViews>
  <sheetFormatPr defaultColWidth="8.7109375" defaultRowHeight="15" x14ac:dyDescent="0.25"/>
  <cols>
    <col min="1" max="1" width="5" customWidth="1"/>
    <col min="2" max="2" width="15.28515625" customWidth="1"/>
    <col min="3" max="3" width="22" customWidth="1"/>
    <col min="4" max="4" width="26" customWidth="1"/>
    <col min="5" max="5" width="14" customWidth="1"/>
    <col min="6" max="6" width="13" customWidth="1"/>
    <col min="7" max="7" width="16" customWidth="1"/>
    <col min="8" max="8" width="30" customWidth="1"/>
    <col min="9" max="9" width="18" customWidth="1"/>
    <col min="10" max="10" width="11" customWidth="1"/>
    <col min="11" max="11" width="16" customWidth="1"/>
    <col min="12" max="12" width="10" customWidth="1"/>
    <col min="13" max="13" width="15" customWidth="1"/>
    <col min="14" max="14" width="11" customWidth="1"/>
    <col min="15" max="15" width="28" customWidth="1"/>
    <col min="16" max="16" width="13" customWidth="1"/>
    <col min="17" max="17" width="26" customWidth="1"/>
    <col min="18" max="18" width="34" customWidth="1"/>
  </cols>
  <sheetData>
    <row r="1" spans="1:18" ht="18" x14ac:dyDescent="0.25">
      <c r="A1" s="1" t="s">
        <v>107</v>
      </c>
    </row>
    <row r="2" spans="1:18" x14ac:dyDescent="0.25">
      <c r="A2" s="4" t="s">
        <v>108</v>
      </c>
    </row>
    <row r="4" spans="1:18" ht="25.5" x14ac:dyDescent="0.25">
      <c r="A4" s="19" t="s">
        <v>109</v>
      </c>
      <c r="B4" s="19" t="s">
        <v>110</v>
      </c>
      <c r="C4" s="19" t="s">
        <v>111</v>
      </c>
      <c r="D4" s="19" t="s">
        <v>112</v>
      </c>
      <c r="E4" s="19" t="s">
        <v>113</v>
      </c>
      <c r="F4" s="19" t="s">
        <v>63</v>
      </c>
      <c r="G4" s="19" t="s">
        <v>62</v>
      </c>
      <c r="H4" s="19" t="s">
        <v>114</v>
      </c>
      <c r="I4" s="19" t="s">
        <v>115</v>
      </c>
      <c r="J4" s="19" t="s">
        <v>64</v>
      </c>
      <c r="K4" s="19" t="s">
        <v>116</v>
      </c>
      <c r="L4" s="19" t="s">
        <v>117</v>
      </c>
      <c r="M4" s="19" t="s">
        <v>118</v>
      </c>
      <c r="N4" s="19" t="s">
        <v>119</v>
      </c>
      <c r="O4" s="19" t="s">
        <v>120</v>
      </c>
      <c r="P4" s="19" t="s">
        <v>121</v>
      </c>
      <c r="Q4" s="19" t="s">
        <v>122</v>
      </c>
      <c r="R4" s="19" t="s">
        <v>123</v>
      </c>
    </row>
    <row r="5" spans="1:18" x14ac:dyDescent="0.25">
      <c r="A5" s="20">
        <v>1</v>
      </c>
      <c r="B5" s="36">
        <v>46284</v>
      </c>
      <c r="C5" s="22" t="s">
        <v>148</v>
      </c>
      <c r="D5" s="22" t="s">
        <v>147</v>
      </c>
      <c r="E5" s="22" t="s">
        <v>149</v>
      </c>
      <c r="F5" s="23" t="s">
        <v>70</v>
      </c>
      <c r="G5" s="22" t="s">
        <v>75</v>
      </c>
      <c r="H5" s="37" t="s">
        <v>150</v>
      </c>
      <c r="I5" s="24">
        <v>8000000</v>
      </c>
      <c r="J5" s="23" t="s">
        <v>83</v>
      </c>
      <c r="K5" s="23" t="s">
        <v>19</v>
      </c>
      <c r="L5" s="25">
        <f>IFERROR(IF($K5="","",MATCH($K5,Lists!$A$2:$A$13,0)-1),"")</f>
        <v>1</v>
      </c>
      <c r="M5" s="36">
        <v>46284</v>
      </c>
      <c r="N5" s="25">
        <f ca="1">IF($B5="","",TODAY()-$B5)</f>
        <v>0</v>
      </c>
      <c r="O5" s="22"/>
      <c r="P5" s="21"/>
      <c r="Q5" s="22"/>
      <c r="R5" s="22"/>
    </row>
    <row r="6" spans="1:18" x14ac:dyDescent="0.25">
      <c r="A6" s="25">
        <f>IF($C6="","",COUNTA($C$5:$C6))</f>
        <v>2</v>
      </c>
      <c r="B6" s="38">
        <v>46284</v>
      </c>
      <c r="C6" s="27" t="s">
        <v>152</v>
      </c>
      <c r="D6" s="27" t="s">
        <v>151</v>
      </c>
      <c r="E6" s="27" t="s">
        <v>153</v>
      </c>
      <c r="F6" s="28" t="s">
        <v>70</v>
      </c>
      <c r="G6" s="27" t="s">
        <v>75</v>
      </c>
      <c r="H6" s="37" t="s">
        <v>154</v>
      </c>
      <c r="I6" s="24">
        <v>8000000</v>
      </c>
      <c r="J6" s="28" t="s">
        <v>83</v>
      </c>
      <c r="K6" s="28" t="s">
        <v>19</v>
      </c>
      <c r="L6" s="25">
        <f>IFERROR(IF($K6="","",MATCH($K6,Lists!$A$2:$A$13,0)-1),"")</f>
        <v>1</v>
      </c>
      <c r="M6" s="38">
        <v>46284</v>
      </c>
      <c r="N6" s="25">
        <f t="shared" ref="N6:N36" ca="1" si="0">IF($B6="","",TODAY()-$B6)</f>
        <v>0</v>
      </c>
      <c r="O6" s="27"/>
      <c r="P6" s="26"/>
      <c r="Q6" s="27"/>
      <c r="R6" s="27"/>
    </row>
    <row r="7" spans="1:18" x14ac:dyDescent="0.25">
      <c r="A7" s="25">
        <f>IF($C7="","",COUNTA($C$5:$C7))</f>
        <v>3</v>
      </c>
      <c r="B7" s="38">
        <v>46284</v>
      </c>
      <c r="C7" s="27" t="s">
        <v>158</v>
      </c>
      <c r="D7" s="27" t="s">
        <v>155</v>
      </c>
      <c r="E7" s="27" t="s">
        <v>156</v>
      </c>
      <c r="F7" s="28" t="s">
        <v>70</v>
      </c>
      <c r="G7" s="27" t="s">
        <v>75</v>
      </c>
      <c r="H7" s="27" t="s">
        <v>157</v>
      </c>
      <c r="I7" s="24">
        <v>8000000</v>
      </c>
      <c r="J7" s="28" t="s">
        <v>83</v>
      </c>
      <c r="K7" s="28" t="s">
        <v>19</v>
      </c>
      <c r="L7" s="25">
        <f>IFERROR(IF($K7="","",MATCH($K7,Lists!$A$2:$A$13,0)-1),"")</f>
        <v>1</v>
      </c>
      <c r="M7" s="38">
        <v>46284</v>
      </c>
      <c r="N7" s="25">
        <f t="shared" ca="1" si="0"/>
        <v>0</v>
      </c>
      <c r="O7" s="27"/>
      <c r="P7" s="26"/>
      <c r="Q7" s="27"/>
      <c r="R7" s="27"/>
    </row>
    <row r="8" spans="1:18" x14ac:dyDescent="0.25">
      <c r="A8" s="25">
        <f>IF($C8="","",COUNTA($C$5:$C8))</f>
        <v>4</v>
      </c>
      <c r="B8" s="38">
        <v>46284</v>
      </c>
      <c r="C8" s="27" t="s">
        <v>162</v>
      </c>
      <c r="D8" s="27" t="s">
        <v>159</v>
      </c>
      <c r="E8" s="27" t="s">
        <v>160</v>
      </c>
      <c r="F8" s="28" t="s">
        <v>70</v>
      </c>
      <c r="G8" s="27" t="s">
        <v>75</v>
      </c>
      <c r="H8" s="27" t="s">
        <v>161</v>
      </c>
      <c r="I8" s="24">
        <v>8000000</v>
      </c>
      <c r="J8" s="28" t="s">
        <v>83</v>
      </c>
      <c r="K8" s="28" t="s">
        <v>19</v>
      </c>
      <c r="L8" s="25">
        <f>IFERROR(IF($K8="","",MATCH($K8,Lists!$A$2:$A$13,0)-1),"")</f>
        <v>1</v>
      </c>
      <c r="M8" s="38">
        <v>46284</v>
      </c>
      <c r="N8" s="25">
        <f t="shared" ca="1" si="0"/>
        <v>0</v>
      </c>
      <c r="O8" s="27"/>
      <c r="P8" s="26"/>
      <c r="Q8" s="27"/>
      <c r="R8" s="27"/>
    </row>
    <row r="9" spans="1:18" x14ac:dyDescent="0.25">
      <c r="A9" s="25">
        <f>IF($C9="","",COUNTA($C$5:$C9))</f>
        <v>5</v>
      </c>
      <c r="B9" s="38">
        <v>46284</v>
      </c>
      <c r="C9" s="27" t="s">
        <v>163</v>
      </c>
      <c r="D9" s="27" t="s">
        <v>164</v>
      </c>
      <c r="E9" s="27" t="s">
        <v>156</v>
      </c>
      <c r="F9" s="28" t="s">
        <v>70</v>
      </c>
      <c r="G9" s="27" t="s">
        <v>75</v>
      </c>
      <c r="H9" s="27" t="s">
        <v>165</v>
      </c>
      <c r="I9" s="24">
        <v>8000000</v>
      </c>
      <c r="J9" s="28" t="s">
        <v>83</v>
      </c>
      <c r="K9" s="28" t="s">
        <v>19</v>
      </c>
      <c r="L9" s="25">
        <f>IFERROR(IF($K9="","",MATCH($K9,Lists!$A$2:$A$13,0)-1),"")</f>
        <v>1</v>
      </c>
      <c r="M9" s="38">
        <v>46284</v>
      </c>
      <c r="N9" s="25">
        <f t="shared" ca="1" si="0"/>
        <v>0</v>
      </c>
      <c r="O9" s="27"/>
      <c r="P9" s="26"/>
      <c r="Q9" s="27"/>
      <c r="R9" s="27"/>
    </row>
    <row r="10" spans="1:18" x14ac:dyDescent="0.25">
      <c r="A10" s="25" t="str">
        <f>IF($C10="","",COUNTA($C$5:$C10))</f>
        <v/>
      </c>
      <c r="B10" s="38"/>
      <c r="C10" s="27"/>
      <c r="D10" s="27"/>
      <c r="E10" s="27"/>
      <c r="F10" s="28"/>
      <c r="G10" s="27"/>
      <c r="H10" s="27"/>
      <c r="I10" s="29"/>
      <c r="J10" s="28"/>
      <c r="K10" s="28"/>
      <c r="L10" s="25" t="str">
        <f>IFERROR(IF($K10="","",MATCH($K10,Lists!$A$2:$A$13,0)-1),"")</f>
        <v/>
      </c>
      <c r="M10" s="38"/>
      <c r="N10" s="25" t="str">
        <f t="shared" ca="1" si="0"/>
        <v/>
      </c>
      <c r="O10" s="27"/>
      <c r="P10" s="26"/>
      <c r="Q10" s="27"/>
      <c r="R10" s="27"/>
    </row>
    <row r="11" spans="1:18" x14ac:dyDescent="0.25">
      <c r="A11" s="25" t="str">
        <f>IF($C11="","",COUNTA($C$5:$C11))</f>
        <v/>
      </c>
      <c r="B11" s="38"/>
      <c r="C11" s="27"/>
      <c r="D11" s="27"/>
      <c r="E11" s="27"/>
      <c r="F11" s="28"/>
      <c r="G11" s="27"/>
      <c r="H11" s="27"/>
      <c r="I11" s="29"/>
      <c r="J11" s="28"/>
      <c r="K11" s="28"/>
      <c r="L11" s="25" t="str">
        <f>IFERROR(IF($K11="","",MATCH($K11,Lists!$A$2:$A$13,0)-1),"")</f>
        <v/>
      </c>
      <c r="M11" s="38"/>
      <c r="N11" s="25" t="str">
        <f t="shared" ca="1" si="0"/>
        <v/>
      </c>
      <c r="O11" s="27"/>
      <c r="P11" s="26"/>
      <c r="Q11" s="27"/>
      <c r="R11" s="27"/>
    </row>
    <row r="12" spans="1:18" x14ac:dyDescent="0.25">
      <c r="A12" s="25" t="str">
        <f>IF($C12="","",COUNTA($C$5:$C12))</f>
        <v/>
      </c>
      <c r="B12" s="38"/>
      <c r="C12" s="27"/>
      <c r="D12" s="27"/>
      <c r="E12" s="27"/>
      <c r="F12" s="28"/>
      <c r="G12" s="27"/>
      <c r="H12" s="27"/>
      <c r="I12" s="29"/>
      <c r="J12" s="28"/>
      <c r="K12" s="28"/>
      <c r="L12" s="25" t="str">
        <f>IFERROR(IF($K12="","",MATCH($K12,Lists!$A$2:$A$13,0)-1),"")</f>
        <v/>
      </c>
      <c r="M12" s="38"/>
      <c r="N12" s="25" t="str">
        <f t="shared" ca="1" si="0"/>
        <v/>
      </c>
      <c r="O12" s="27"/>
      <c r="P12" s="26"/>
      <c r="Q12" s="27"/>
      <c r="R12" s="27"/>
    </row>
    <row r="13" spans="1:18" x14ac:dyDescent="0.25">
      <c r="A13" s="25" t="str">
        <f>IF($C13="","",COUNTA($C$5:$C13))</f>
        <v/>
      </c>
      <c r="B13" s="38"/>
      <c r="C13" s="27"/>
      <c r="D13" s="27"/>
      <c r="E13" s="27"/>
      <c r="F13" s="28"/>
      <c r="G13" s="27"/>
      <c r="H13" s="27"/>
      <c r="I13" s="29"/>
      <c r="J13" s="28"/>
      <c r="K13" s="28"/>
      <c r="L13" s="25" t="str">
        <f>IFERROR(IF($K13="","",MATCH($K13,Lists!$A$2:$A$13,0)-1),"")</f>
        <v/>
      </c>
      <c r="M13" s="38"/>
      <c r="N13" s="25" t="str">
        <f t="shared" ca="1" si="0"/>
        <v/>
      </c>
      <c r="O13" s="27"/>
      <c r="P13" s="26"/>
      <c r="Q13" s="27"/>
      <c r="R13" s="27"/>
    </row>
    <row r="14" spans="1:18" x14ac:dyDescent="0.25">
      <c r="A14" s="25" t="str">
        <f>IF($C14="","",COUNTA($C$5:$C14))</f>
        <v/>
      </c>
      <c r="B14" s="38"/>
      <c r="C14" s="27"/>
      <c r="D14" s="27"/>
      <c r="E14" s="27"/>
      <c r="F14" s="28"/>
      <c r="G14" s="27"/>
      <c r="H14" s="27"/>
      <c r="I14" s="29"/>
      <c r="J14" s="28"/>
      <c r="K14" s="28"/>
      <c r="L14" s="25" t="str">
        <f>IFERROR(IF($K14="","",MATCH($K14,Lists!$A$2:$A$13,0)-1),"")</f>
        <v/>
      </c>
      <c r="M14" s="38"/>
      <c r="N14" s="25" t="str">
        <f t="shared" ca="1" si="0"/>
        <v/>
      </c>
      <c r="O14" s="27"/>
      <c r="P14" s="26"/>
      <c r="Q14" s="27"/>
      <c r="R14" s="27"/>
    </row>
    <row r="15" spans="1:18" x14ac:dyDescent="0.25">
      <c r="A15" s="25" t="str">
        <f>IF($C15="","",COUNTA($C$5:$C15))</f>
        <v/>
      </c>
      <c r="B15" s="38"/>
      <c r="C15" s="27"/>
      <c r="D15" s="27"/>
      <c r="E15" s="27"/>
      <c r="F15" s="28"/>
      <c r="G15" s="27"/>
      <c r="H15" s="27"/>
      <c r="I15" s="29"/>
      <c r="J15" s="28"/>
      <c r="K15" s="28"/>
      <c r="L15" s="25" t="str">
        <f>IFERROR(IF($K15="","",MATCH($K15,Lists!$A$2:$A$13,0)-1),"")</f>
        <v/>
      </c>
      <c r="M15" s="38"/>
      <c r="N15" s="25" t="str">
        <f t="shared" ca="1" si="0"/>
        <v/>
      </c>
      <c r="O15" s="27"/>
      <c r="P15" s="26"/>
      <c r="Q15" s="27"/>
      <c r="R15" s="27"/>
    </row>
    <row r="16" spans="1:18" x14ac:dyDescent="0.25">
      <c r="A16" s="25" t="str">
        <f>IF($C16="","",COUNTA($C$5:$C16))</f>
        <v/>
      </c>
      <c r="B16" s="38"/>
      <c r="C16" s="27"/>
      <c r="D16" s="27"/>
      <c r="E16" s="27"/>
      <c r="F16" s="28"/>
      <c r="G16" s="27"/>
      <c r="H16" s="27"/>
      <c r="I16" s="29"/>
      <c r="J16" s="28"/>
      <c r="K16" s="28"/>
      <c r="L16" s="25" t="str">
        <f>IFERROR(IF($K16="","",MATCH($K16,Lists!$A$2:$A$13,0)-1),"")</f>
        <v/>
      </c>
      <c r="M16" s="38"/>
      <c r="N16" s="25" t="str">
        <f t="shared" ca="1" si="0"/>
        <v/>
      </c>
      <c r="O16" s="27"/>
      <c r="P16" s="26"/>
      <c r="Q16" s="27"/>
      <c r="R16" s="27"/>
    </row>
    <row r="17" spans="1:18" x14ac:dyDescent="0.25">
      <c r="A17" s="25" t="str">
        <f>IF($C17="","",COUNTA($C$5:$C17))</f>
        <v/>
      </c>
      <c r="B17" s="38"/>
      <c r="C17" s="27"/>
      <c r="D17" s="27"/>
      <c r="E17" s="27"/>
      <c r="F17" s="28"/>
      <c r="G17" s="27"/>
      <c r="H17" s="27"/>
      <c r="I17" s="29"/>
      <c r="J17" s="28"/>
      <c r="K17" s="28"/>
      <c r="L17" s="25" t="str">
        <f>IFERROR(IF($K17="","",MATCH($K17,Lists!$A$2:$A$13,0)-1),"")</f>
        <v/>
      </c>
      <c r="M17" s="38"/>
      <c r="N17" s="25" t="str">
        <f t="shared" ca="1" si="0"/>
        <v/>
      </c>
      <c r="O17" s="27"/>
      <c r="P17" s="26"/>
      <c r="Q17" s="27"/>
      <c r="R17" s="27"/>
    </row>
    <row r="18" spans="1:18" x14ac:dyDescent="0.25">
      <c r="A18" s="25" t="str">
        <f>IF($C18="","",COUNTA($C$5:$C18))</f>
        <v/>
      </c>
      <c r="B18" s="38"/>
      <c r="C18" s="27"/>
      <c r="D18" s="27"/>
      <c r="E18" s="27"/>
      <c r="F18" s="28"/>
      <c r="G18" s="27"/>
      <c r="H18" s="27"/>
      <c r="I18" s="29"/>
      <c r="J18" s="28"/>
      <c r="K18" s="28"/>
      <c r="L18" s="25" t="str">
        <f>IFERROR(IF($K18="","",MATCH($K18,Lists!$A$2:$A$13,0)-1),"")</f>
        <v/>
      </c>
      <c r="M18" s="38"/>
      <c r="N18" s="25" t="str">
        <f t="shared" ca="1" si="0"/>
        <v/>
      </c>
      <c r="O18" s="27"/>
      <c r="P18" s="26"/>
      <c r="Q18" s="27"/>
      <c r="R18" s="27"/>
    </row>
    <row r="19" spans="1:18" x14ac:dyDescent="0.25">
      <c r="A19" s="25" t="str">
        <f>IF($C19="","",COUNTA($C$5:$C19))</f>
        <v/>
      </c>
      <c r="B19" s="38"/>
      <c r="C19" s="27"/>
      <c r="D19" s="27"/>
      <c r="E19" s="27"/>
      <c r="F19" s="28"/>
      <c r="G19" s="27"/>
      <c r="H19" s="27"/>
      <c r="I19" s="29"/>
      <c r="J19" s="28"/>
      <c r="K19" s="28"/>
      <c r="L19" s="25" t="str">
        <f>IFERROR(IF($K19="","",MATCH($K19,Lists!$A$2:$A$13,0)-1),"")</f>
        <v/>
      </c>
      <c r="M19" s="38"/>
      <c r="N19" s="25" t="str">
        <f t="shared" ca="1" si="0"/>
        <v/>
      </c>
      <c r="O19" s="27"/>
      <c r="P19" s="26"/>
      <c r="Q19" s="27"/>
      <c r="R19" s="27"/>
    </row>
    <row r="20" spans="1:18" x14ac:dyDescent="0.25">
      <c r="A20" s="25" t="str">
        <f>IF($C20="","",COUNTA($C$5:$C20))</f>
        <v/>
      </c>
      <c r="B20" s="38"/>
      <c r="C20" s="27"/>
      <c r="D20" s="27"/>
      <c r="E20" s="27"/>
      <c r="F20" s="28"/>
      <c r="G20" s="27"/>
      <c r="H20" s="27"/>
      <c r="I20" s="29"/>
      <c r="J20" s="28"/>
      <c r="K20" s="28"/>
      <c r="L20" s="25" t="str">
        <f>IFERROR(IF($K20="","",MATCH($K20,Lists!$A$2:$A$13,0)-1),"")</f>
        <v/>
      </c>
      <c r="M20" s="38"/>
      <c r="N20" s="25" t="str">
        <f t="shared" ca="1" si="0"/>
        <v/>
      </c>
      <c r="O20" s="27"/>
      <c r="P20" s="26"/>
      <c r="Q20" s="27"/>
      <c r="R20" s="27"/>
    </row>
    <row r="21" spans="1:18" x14ac:dyDescent="0.25">
      <c r="A21" s="25" t="str">
        <f>IF($C21="","",COUNTA($C$5:$C21))</f>
        <v/>
      </c>
      <c r="B21" s="38"/>
      <c r="C21" s="27"/>
      <c r="D21" s="27"/>
      <c r="E21" s="27"/>
      <c r="F21" s="28"/>
      <c r="G21" s="27"/>
      <c r="H21" s="27"/>
      <c r="I21" s="29"/>
      <c r="J21" s="28"/>
      <c r="K21" s="28"/>
      <c r="L21" s="25" t="str">
        <f>IFERROR(IF($K21="","",MATCH($K21,Lists!$A$2:$A$13,0)-1),"")</f>
        <v/>
      </c>
      <c r="M21" s="38"/>
      <c r="N21" s="25" t="str">
        <f t="shared" ca="1" si="0"/>
        <v/>
      </c>
      <c r="O21" s="27"/>
      <c r="P21" s="26"/>
      <c r="Q21" s="27"/>
      <c r="R21" s="27"/>
    </row>
    <row r="22" spans="1:18" x14ac:dyDescent="0.25">
      <c r="A22" s="25" t="str">
        <f>IF($C22="","",COUNTA($C$5:$C22))</f>
        <v/>
      </c>
      <c r="B22" s="38"/>
      <c r="C22" s="27"/>
      <c r="D22" s="27"/>
      <c r="E22" s="27"/>
      <c r="F22" s="28"/>
      <c r="G22" s="27"/>
      <c r="H22" s="27"/>
      <c r="I22" s="29"/>
      <c r="J22" s="28"/>
      <c r="K22" s="28"/>
      <c r="L22" s="25" t="str">
        <f>IFERROR(IF($K22="","",MATCH($K22,Lists!$A$2:$A$13,0)-1),"")</f>
        <v/>
      </c>
      <c r="M22" s="38"/>
      <c r="N22" s="25" t="str">
        <f t="shared" ca="1" si="0"/>
        <v/>
      </c>
      <c r="O22" s="27"/>
      <c r="P22" s="26"/>
      <c r="Q22" s="27"/>
      <c r="R22" s="27"/>
    </row>
    <row r="23" spans="1:18" x14ac:dyDescent="0.25">
      <c r="A23" s="25" t="str">
        <f>IF($C23="","",COUNTA($C$5:$C23))</f>
        <v/>
      </c>
      <c r="B23" s="38"/>
      <c r="C23" s="27"/>
      <c r="D23" s="27"/>
      <c r="E23" s="27"/>
      <c r="F23" s="28"/>
      <c r="G23" s="27"/>
      <c r="H23" s="27"/>
      <c r="I23" s="29"/>
      <c r="J23" s="28"/>
      <c r="K23" s="28"/>
      <c r="L23" s="25" t="str">
        <f>IFERROR(IF($K23="","",MATCH($K23,Lists!$A$2:$A$13,0)-1),"")</f>
        <v/>
      </c>
      <c r="M23" s="38"/>
      <c r="N23" s="25" t="str">
        <f t="shared" ca="1" si="0"/>
        <v/>
      </c>
      <c r="O23" s="27"/>
      <c r="P23" s="26"/>
      <c r="Q23" s="27"/>
      <c r="R23" s="27"/>
    </row>
    <row r="24" spans="1:18" x14ac:dyDescent="0.25">
      <c r="A24" s="25" t="str">
        <f>IF($C24="","",COUNTA($C$5:$C24))</f>
        <v/>
      </c>
      <c r="B24" s="38"/>
      <c r="C24" s="27"/>
      <c r="D24" s="27"/>
      <c r="E24" s="27"/>
      <c r="F24" s="28"/>
      <c r="G24" s="27"/>
      <c r="H24" s="27"/>
      <c r="I24" s="29"/>
      <c r="J24" s="28"/>
      <c r="K24" s="28"/>
      <c r="L24" s="25" t="str">
        <f>IFERROR(IF($K24="","",MATCH($K24,Lists!$A$2:$A$13,0)-1),"")</f>
        <v/>
      </c>
      <c r="M24" s="38"/>
      <c r="N24" s="25" t="str">
        <f t="shared" ca="1" si="0"/>
        <v/>
      </c>
      <c r="O24" s="27"/>
      <c r="P24" s="26"/>
      <c r="Q24" s="27"/>
      <c r="R24" s="27"/>
    </row>
    <row r="25" spans="1:18" x14ac:dyDescent="0.25">
      <c r="A25" s="25" t="str">
        <f>IF($C25="","",COUNTA($C$5:$C25))</f>
        <v/>
      </c>
      <c r="B25" s="38"/>
      <c r="C25" s="27"/>
      <c r="D25" s="27"/>
      <c r="E25" s="27"/>
      <c r="F25" s="28"/>
      <c r="G25" s="27"/>
      <c r="H25" s="27"/>
      <c r="I25" s="29"/>
      <c r="J25" s="28"/>
      <c r="K25" s="28"/>
      <c r="L25" s="25" t="str">
        <f>IFERROR(IF($K25="","",MATCH($K25,Lists!$A$2:$A$13,0)-1),"")</f>
        <v/>
      </c>
      <c r="M25" s="38"/>
      <c r="N25" s="25" t="str">
        <f t="shared" ca="1" si="0"/>
        <v/>
      </c>
      <c r="O25" s="27"/>
      <c r="P25" s="26"/>
      <c r="Q25" s="27"/>
      <c r="R25" s="27"/>
    </row>
    <row r="26" spans="1:18" x14ac:dyDescent="0.25">
      <c r="A26" s="25" t="str">
        <f>IF($C26="","",COUNTA($C$5:$C26))</f>
        <v/>
      </c>
      <c r="B26" s="38"/>
      <c r="C26" s="27"/>
      <c r="D26" s="27"/>
      <c r="E26" s="27"/>
      <c r="F26" s="28"/>
      <c r="G26" s="27"/>
      <c r="H26" s="27"/>
      <c r="I26" s="29"/>
      <c r="J26" s="28"/>
      <c r="K26" s="28"/>
      <c r="L26" s="25" t="str">
        <f>IFERROR(IF($K26="","",MATCH($K26,Lists!$A$2:$A$13,0)-1),"")</f>
        <v/>
      </c>
      <c r="M26" s="38"/>
      <c r="N26" s="25" t="str">
        <f t="shared" ca="1" si="0"/>
        <v/>
      </c>
      <c r="O26" s="27"/>
      <c r="P26" s="26"/>
      <c r="Q26" s="27"/>
      <c r="R26" s="27"/>
    </row>
    <row r="27" spans="1:18" x14ac:dyDescent="0.25">
      <c r="A27" s="25" t="str">
        <f>IF($C27="","",COUNTA($C$5:$C27))</f>
        <v/>
      </c>
      <c r="B27" s="38"/>
      <c r="C27" s="27"/>
      <c r="D27" s="27"/>
      <c r="E27" s="27"/>
      <c r="F27" s="28"/>
      <c r="G27" s="27"/>
      <c r="H27" s="27"/>
      <c r="I27" s="29"/>
      <c r="J27" s="28"/>
      <c r="K27" s="28"/>
      <c r="L27" s="25" t="str">
        <f>IFERROR(IF($K27="","",MATCH($K27,Lists!$A$2:$A$13,0)-1),"")</f>
        <v/>
      </c>
      <c r="M27" s="38"/>
      <c r="N27" s="25" t="str">
        <f t="shared" ca="1" si="0"/>
        <v/>
      </c>
      <c r="O27" s="27"/>
      <c r="P27" s="26"/>
      <c r="Q27" s="27"/>
      <c r="R27" s="27"/>
    </row>
    <row r="28" spans="1:18" x14ac:dyDescent="0.25">
      <c r="A28" s="25" t="str">
        <f>IF($C28="","",COUNTA($C$5:$C28))</f>
        <v/>
      </c>
      <c r="B28" s="38"/>
      <c r="C28" s="27"/>
      <c r="D28" s="27"/>
      <c r="E28" s="27"/>
      <c r="F28" s="28"/>
      <c r="G28" s="27"/>
      <c r="H28" s="27"/>
      <c r="I28" s="29"/>
      <c r="J28" s="28"/>
      <c r="K28" s="28"/>
      <c r="L28" s="25" t="str">
        <f>IFERROR(IF($K28="","",MATCH($K28,Lists!$A$2:$A$13,0)-1),"")</f>
        <v/>
      </c>
      <c r="M28" s="38"/>
      <c r="N28" s="25" t="str">
        <f t="shared" ca="1" si="0"/>
        <v/>
      </c>
      <c r="O28" s="27"/>
      <c r="P28" s="26"/>
      <c r="Q28" s="27"/>
      <c r="R28" s="27"/>
    </row>
    <row r="29" spans="1:18" x14ac:dyDescent="0.25">
      <c r="A29" s="25" t="str">
        <f>IF($C29="","",COUNTA($C$5:$C29))</f>
        <v/>
      </c>
      <c r="B29" s="38"/>
      <c r="C29" s="27"/>
      <c r="D29" s="27"/>
      <c r="E29" s="27"/>
      <c r="F29" s="28"/>
      <c r="G29" s="27"/>
      <c r="H29" s="27"/>
      <c r="I29" s="29"/>
      <c r="J29" s="28"/>
      <c r="K29" s="28"/>
      <c r="L29" s="25" t="str">
        <f>IFERROR(IF($K29="","",MATCH($K29,Lists!$A$2:$A$13,0)-1),"")</f>
        <v/>
      </c>
      <c r="M29" s="38"/>
      <c r="N29" s="25" t="str">
        <f t="shared" ca="1" si="0"/>
        <v/>
      </c>
      <c r="O29" s="27"/>
      <c r="P29" s="26"/>
      <c r="Q29" s="27"/>
      <c r="R29" s="27"/>
    </row>
    <row r="30" spans="1:18" x14ac:dyDescent="0.25">
      <c r="A30" s="25" t="str">
        <f>IF($C30="","",COUNTA($C$5:$C30))</f>
        <v/>
      </c>
      <c r="B30" s="38"/>
      <c r="C30" s="27"/>
      <c r="D30" s="27"/>
      <c r="E30" s="27"/>
      <c r="F30" s="28"/>
      <c r="G30" s="27"/>
      <c r="H30" s="27"/>
      <c r="I30" s="29"/>
      <c r="J30" s="28"/>
      <c r="K30" s="28"/>
      <c r="L30" s="25" t="str">
        <f>IFERROR(IF($K30="","",MATCH($K30,Lists!$A$2:$A$13,0)-1),"")</f>
        <v/>
      </c>
      <c r="M30" s="38"/>
      <c r="N30" s="25" t="str">
        <f t="shared" ca="1" si="0"/>
        <v/>
      </c>
      <c r="O30" s="27"/>
      <c r="P30" s="26"/>
      <c r="Q30" s="27"/>
      <c r="R30" s="27"/>
    </row>
    <row r="31" spans="1:18" x14ac:dyDescent="0.25">
      <c r="A31" s="25" t="str">
        <f>IF($C31="","",COUNTA($C$5:$C31))</f>
        <v/>
      </c>
      <c r="B31" s="38"/>
      <c r="C31" s="27"/>
      <c r="D31" s="27"/>
      <c r="E31" s="27"/>
      <c r="F31" s="28"/>
      <c r="G31" s="27"/>
      <c r="H31" s="27"/>
      <c r="I31" s="29"/>
      <c r="J31" s="28"/>
      <c r="K31" s="28"/>
      <c r="L31" s="25" t="str">
        <f>IFERROR(IF($K31="","",MATCH($K31,Lists!$A$2:$A$13,0)-1),"")</f>
        <v/>
      </c>
      <c r="M31" s="38"/>
      <c r="N31" s="25" t="str">
        <f t="shared" ca="1" si="0"/>
        <v/>
      </c>
      <c r="O31" s="27"/>
      <c r="P31" s="26"/>
      <c r="Q31" s="27"/>
      <c r="R31" s="27"/>
    </row>
    <row r="32" spans="1:18" x14ac:dyDescent="0.25">
      <c r="A32" s="25" t="str">
        <f>IF($C32="","",COUNTA($C$5:$C32))</f>
        <v/>
      </c>
      <c r="B32" s="38"/>
      <c r="C32" s="27"/>
      <c r="D32" s="27"/>
      <c r="E32" s="27"/>
      <c r="F32" s="28"/>
      <c r="G32" s="27"/>
      <c r="H32" s="27"/>
      <c r="I32" s="29"/>
      <c r="J32" s="28"/>
      <c r="K32" s="28"/>
      <c r="L32" s="25" t="str">
        <f>IFERROR(IF($K32="","",MATCH($K32,Lists!$A$2:$A$13,0)-1),"")</f>
        <v/>
      </c>
      <c r="M32" s="38"/>
      <c r="N32" s="25" t="str">
        <f t="shared" ca="1" si="0"/>
        <v/>
      </c>
      <c r="O32" s="27"/>
      <c r="P32" s="26"/>
      <c r="Q32" s="27"/>
      <c r="R32" s="27"/>
    </row>
    <row r="33" spans="1:18" x14ac:dyDescent="0.25">
      <c r="A33" s="25" t="str">
        <f>IF($C33="","",COUNTA($C$5:$C33))</f>
        <v/>
      </c>
      <c r="B33" s="38"/>
      <c r="C33" s="27"/>
      <c r="D33" s="27"/>
      <c r="E33" s="27"/>
      <c r="F33" s="28"/>
      <c r="G33" s="27"/>
      <c r="H33" s="27"/>
      <c r="I33" s="29"/>
      <c r="J33" s="28"/>
      <c r="K33" s="28"/>
      <c r="L33" s="25" t="str">
        <f>IFERROR(IF($K33="","",MATCH($K33,Lists!$A$2:$A$13,0)-1),"")</f>
        <v/>
      </c>
      <c r="M33" s="38"/>
      <c r="N33" s="25" t="str">
        <f t="shared" ca="1" si="0"/>
        <v/>
      </c>
      <c r="O33" s="27"/>
      <c r="P33" s="26"/>
      <c r="Q33" s="27"/>
      <c r="R33" s="27"/>
    </row>
    <row r="34" spans="1:18" x14ac:dyDescent="0.25">
      <c r="A34" s="25" t="str">
        <f>IF($C34="","",COUNTA($C$5:$C34))</f>
        <v/>
      </c>
      <c r="B34" s="38"/>
      <c r="C34" s="27"/>
      <c r="D34" s="27"/>
      <c r="E34" s="27"/>
      <c r="F34" s="28"/>
      <c r="G34" s="27"/>
      <c r="H34" s="27"/>
      <c r="I34" s="29"/>
      <c r="J34" s="28"/>
      <c r="K34" s="28"/>
      <c r="L34" s="25" t="str">
        <f>IFERROR(IF($K34="","",MATCH($K34,Lists!$A$2:$A$13,0)-1),"")</f>
        <v/>
      </c>
      <c r="M34" s="38"/>
      <c r="N34" s="25" t="str">
        <f t="shared" ca="1" si="0"/>
        <v/>
      </c>
      <c r="O34" s="27"/>
      <c r="P34" s="26"/>
      <c r="Q34" s="27"/>
      <c r="R34" s="27"/>
    </row>
    <row r="35" spans="1:18" x14ac:dyDescent="0.25">
      <c r="A35" s="25" t="str">
        <f>IF($C35="","",COUNTA($C$5:$C35))</f>
        <v/>
      </c>
      <c r="B35" s="38"/>
      <c r="C35" s="27"/>
      <c r="D35" s="27"/>
      <c r="E35" s="27"/>
      <c r="F35" s="28"/>
      <c r="G35" s="27"/>
      <c r="H35" s="27"/>
      <c r="I35" s="29"/>
      <c r="J35" s="28"/>
      <c r="K35" s="28"/>
      <c r="L35" s="25" t="str">
        <f>IFERROR(IF($K35="","",MATCH($K35,Lists!$A$2:$A$13,0)-1),"")</f>
        <v/>
      </c>
      <c r="M35" s="38"/>
      <c r="N35" s="25" t="str">
        <f t="shared" ca="1" si="0"/>
        <v/>
      </c>
      <c r="O35" s="27"/>
      <c r="P35" s="26"/>
      <c r="Q35" s="27"/>
      <c r="R35" s="27"/>
    </row>
    <row r="36" spans="1:18" x14ac:dyDescent="0.25">
      <c r="A36" s="25" t="str">
        <f>IF($C36="","",COUNTA($C$5:$C36))</f>
        <v/>
      </c>
      <c r="B36" s="38"/>
      <c r="C36" s="27"/>
      <c r="D36" s="27"/>
      <c r="E36" s="27"/>
      <c r="F36" s="28"/>
      <c r="G36" s="27"/>
      <c r="H36" s="27"/>
      <c r="I36" s="29"/>
      <c r="J36" s="28"/>
      <c r="K36" s="28"/>
      <c r="L36" s="25" t="str">
        <f>IFERROR(IF($K36="","",MATCH($K36,Lists!$A$2:$A$13,0)-1),"")</f>
        <v/>
      </c>
      <c r="M36" s="38"/>
      <c r="N36" s="25" t="str">
        <f t="shared" ca="1" si="0"/>
        <v/>
      </c>
      <c r="O36" s="27"/>
      <c r="P36" s="26"/>
      <c r="Q36" s="27"/>
      <c r="R36" s="27"/>
    </row>
    <row r="37" spans="1:18" x14ac:dyDescent="0.25">
      <c r="A37" s="25" t="str">
        <f>IF($C37="","",COUNTA($C$5:$C37))</f>
        <v/>
      </c>
      <c r="B37" s="26"/>
      <c r="C37" s="27"/>
      <c r="D37" s="27"/>
      <c r="E37" s="27"/>
      <c r="F37" s="28"/>
      <c r="G37" s="27"/>
      <c r="H37" s="27"/>
      <c r="I37" s="29"/>
      <c r="J37" s="28"/>
      <c r="K37" s="28"/>
      <c r="L37" s="25" t="str">
        <f>IFERROR(IF($K37="","",MATCH($K37,Lists!$A$2:$A$13,0)-1),"")</f>
        <v/>
      </c>
      <c r="M37" s="26"/>
      <c r="N37" s="25" t="str">
        <f t="shared" ref="N37:N68" ca="1" si="1">IF($B37="","",TODAY()-$B37)</f>
        <v/>
      </c>
      <c r="O37" s="27"/>
      <c r="P37" s="26"/>
      <c r="Q37" s="27"/>
      <c r="R37" s="27"/>
    </row>
    <row r="38" spans="1:18" x14ac:dyDescent="0.25">
      <c r="A38" s="25" t="str">
        <f>IF($C38="","",COUNTA($C$5:$C38))</f>
        <v/>
      </c>
      <c r="B38" s="26"/>
      <c r="C38" s="27"/>
      <c r="D38" s="27"/>
      <c r="E38" s="27"/>
      <c r="F38" s="28"/>
      <c r="G38" s="27"/>
      <c r="H38" s="27"/>
      <c r="I38" s="29"/>
      <c r="J38" s="28"/>
      <c r="K38" s="28"/>
      <c r="L38" s="25" t="str">
        <f>IFERROR(IF($K38="","",MATCH($K38,Lists!$A$2:$A$13,0)-1),"")</f>
        <v/>
      </c>
      <c r="M38" s="26"/>
      <c r="N38" s="25" t="str">
        <f t="shared" ca="1" si="1"/>
        <v/>
      </c>
      <c r="O38" s="27"/>
      <c r="P38" s="26"/>
      <c r="Q38" s="27"/>
      <c r="R38" s="27"/>
    </row>
    <row r="39" spans="1:18" x14ac:dyDescent="0.25">
      <c r="A39" s="25" t="str">
        <f>IF($C39="","",COUNTA($C$5:$C39))</f>
        <v/>
      </c>
      <c r="B39" s="26"/>
      <c r="C39" s="27"/>
      <c r="D39" s="27"/>
      <c r="E39" s="27"/>
      <c r="F39" s="28"/>
      <c r="G39" s="27"/>
      <c r="H39" s="27"/>
      <c r="I39" s="29"/>
      <c r="J39" s="28"/>
      <c r="K39" s="28"/>
      <c r="L39" s="25" t="str">
        <f>IFERROR(IF($K39="","",MATCH($K39,Lists!$A$2:$A$13,0)-1),"")</f>
        <v/>
      </c>
      <c r="M39" s="26"/>
      <c r="N39" s="25" t="str">
        <f t="shared" ca="1" si="1"/>
        <v/>
      </c>
      <c r="O39" s="27"/>
      <c r="P39" s="26"/>
      <c r="Q39" s="27"/>
      <c r="R39" s="27"/>
    </row>
    <row r="40" spans="1:18" x14ac:dyDescent="0.25">
      <c r="A40" s="25" t="str">
        <f>IF($C40="","",COUNTA($C$5:$C40))</f>
        <v/>
      </c>
      <c r="B40" s="26"/>
      <c r="C40" s="27"/>
      <c r="D40" s="27"/>
      <c r="E40" s="27"/>
      <c r="F40" s="28"/>
      <c r="G40" s="27"/>
      <c r="H40" s="27"/>
      <c r="I40" s="29"/>
      <c r="J40" s="28"/>
      <c r="K40" s="28"/>
      <c r="L40" s="25" t="str">
        <f>IFERROR(IF($K40="","",MATCH($K40,Lists!$A$2:$A$13,0)-1),"")</f>
        <v/>
      </c>
      <c r="M40" s="26"/>
      <c r="N40" s="25" t="str">
        <f t="shared" ca="1" si="1"/>
        <v/>
      </c>
      <c r="O40" s="27"/>
      <c r="P40" s="26"/>
      <c r="Q40" s="27"/>
      <c r="R40" s="27"/>
    </row>
    <row r="41" spans="1:18" x14ac:dyDescent="0.25">
      <c r="A41" s="25" t="str">
        <f>IF($C41="","",COUNTA($C$5:$C41))</f>
        <v/>
      </c>
      <c r="B41" s="26"/>
      <c r="C41" s="27"/>
      <c r="D41" s="27"/>
      <c r="E41" s="27"/>
      <c r="F41" s="28"/>
      <c r="G41" s="27"/>
      <c r="H41" s="27"/>
      <c r="I41" s="29"/>
      <c r="J41" s="28"/>
      <c r="K41" s="28"/>
      <c r="L41" s="25" t="str">
        <f>IFERROR(IF($K41="","",MATCH($K41,Lists!$A$2:$A$13,0)-1),"")</f>
        <v/>
      </c>
      <c r="M41" s="26"/>
      <c r="N41" s="25" t="str">
        <f t="shared" ca="1" si="1"/>
        <v/>
      </c>
      <c r="O41" s="27"/>
      <c r="P41" s="26"/>
      <c r="Q41" s="27"/>
      <c r="R41" s="27"/>
    </row>
    <row r="42" spans="1:18" x14ac:dyDescent="0.25">
      <c r="A42" s="25" t="str">
        <f>IF($C42="","",COUNTA($C$5:$C42))</f>
        <v/>
      </c>
      <c r="B42" s="26"/>
      <c r="C42" s="27"/>
      <c r="D42" s="27"/>
      <c r="E42" s="27"/>
      <c r="F42" s="28"/>
      <c r="G42" s="27"/>
      <c r="H42" s="27"/>
      <c r="I42" s="29"/>
      <c r="J42" s="28"/>
      <c r="K42" s="28"/>
      <c r="L42" s="25" t="str">
        <f>IFERROR(IF($K42="","",MATCH($K42,Lists!$A$2:$A$13,0)-1),"")</f>
        <v/>
      </c>
      <c r="M42" s="26"/>
      <c r="N42" s="25" t="str">
        <f t="shared" ca="1" si="1"/>
        <v/>
      </c>
      <c r="O42" s="27"/>
      <c r="P42" s="26"/>
      <c r="Q42" s="27"/>
      <c r="R42" s="27"/>
    </row>
    <row r="43" spans="1:18" x14ac:dyDescent="0.25">
      <c r="A43" s="25" t="str">
        <f>IF($C43="","",COUNTA($C$5:$C43))</f>
        <v/>
      </c>
      <c r="B43" s="26"/>
      <c r="C43" s="27"/>
      <c r="D43" s="27"/>
      <c r="E43" s="27"/>
      <c r="F43" s="28"/>
      <c r="G43" s="27"/>
      <c r="H43" s="27"/>
      <c r="I43" s="29"/>
      <c r="J43" s="28"/>
      <c r="K43" s="28"/>
      <c r="L43" s="25" t="str">
        <f>IFERROR(IF($K43="","",MATCH($K43,Lists!$A$2:$A$13,0)-1),"")</f>
        <v/>
      </c>
      <c r="M43" s="26"/>
      <c r="N43" s="25" t="str">
        <f t="shared" ca="1" si="1"/>
        <v/>
      </c>
      <c r="O43" s="27"/>
      <c r="P43" s="26"/>
      <c r="Q43" s="27"/>
      <c r="R43" s="27"/>
    </row>
    <row r="44" spans="1:18" x14ac:dyDescent="0.25">
      <c r="A44" s="25" t="str">
        <f>IF($C44="","",COUNTA($C$5:$C44))</f>
        <v/>
      </c>
      <c r="B44" s="26"/>
      <c r="C44" s="27"/>
      <c r="D44" s="27"/>
      <c r="E44" s="27"/>
      <c r="F44" s="28"/>
      <c r="G44" s="27"/>
      <c r="H44" s="27"/>
      <c r="I44" s="29"/>
      <c r="J44" s="28"/>
      <c r="K44" s="28"/>
      <c r="L44" s="25" t="str">
        <f>IFERROR(IF($K44="","",MATCH($K44,Lists!$A$2:$A$13,0)-1),"")</f>
        <v/>
      </c>
      <c r="M44" s="26"/>
      <c r="N44" s="25" t="str">
        <f t="shared" ca="1" si="1"/>
        <v/>
      </c>
      <c r="O44" s="27"/>
      <c r="P44" s="26"/>
      <c r="Q44" s="27"/>
      <c r="R44" s="27"/>
    </row>
    <row r="45" spans="1:18" x14ac:dyDescent="0.25">
      <c r="A45" s="25" t="str">
        <f>IF($C45="","",COUNTA($C$5:$C45))</f>
        <v/>
      </c>
      <c r="B45" s="26"/>
      <c r="C45" s="27"/>
      <c r="D45" s="27"/>
      <c r="E45" s="27"/>
      <c r="F45" s="28"/>
      <c r="G45" s="27"/>
      <c r="H45" s="27"/>
      <c r="I45" s="29"/>
      <c r="J45" s="28"/>
      <c r="K45" s="28"/>
      <c r="L45" s="25" t="str">
        <f>IFERROR(IF($K45="","",MATCH($K45,Lists!$A$2:$A$13,0)-1),"")</f>
        <v/>
      </c>
      <c r="M45" s="26"/>
      <c r="N45" s="25" t="str">
        <f t="shared" ca="1" si="1"/>
        <v/>
      </c>
      <c r="O45" s="27"/>
      <c r="P45" s="26"/>
      <c r="Q45" s="27"/>
      <c r="R45" s="27"/>
    </row>
    <row r="46" spans="1:18" x14ac:dyDescent="0.25">
      <c r="A46" s="25" t="str">
        <f>IF($C46="","",COUNTA($C$5:$C46))</f>
        <v/>
      </c>
      <c r="B46" s="26"/>
      <c r="C46" s="27"/>
      <c r="D46" s="27"/>
      <c r="E46" s="27"/>
      <c r="F46" s="28"/>
      <c r="G46" s="27"/>
      <c r="H46" s="27"/>
      <c r="I46" s="29"/>
      <c r="J46" s="28"/>
      <c r="K46" s="28"/>
      <c r="L46" s="25" t="str">
        <f>IFERROR(IF($K46="","",MATCH($K46,Lists!$A$2:$A$13,0)-1),"")</f>
        <v/>
      </c>
      <c r="M46" s="26"/>
      <c r="N46" s="25" t="str">
        <f t="shared" ca="1" si="1"/>
        <v/>
      </c>
      <c r="O46" s="27"/>
      <c r="P46" s="26"/>
      <c r="Q46" s="27"/>
      <c r="R46" s="27"/>
    </row>
    <row r="47" spans="1:18" x14ac:dyDescent="0.25">
      <c r="A47" s="25" t="str">
        <f>IF($C47="","",COUNTA($C$5:$C47))</f>
        <v/>
      </c>
      <c r="B47" s="26"/>
      <c r="C47" s="27"/>
      <c r="D47" s="27"/>
      <c r="E47" s="27"/>
      <c r="F47" s="28"/>
      <c r="G47" s="27"/>
      <c r="H47" s="27"/>
      <c r="I47" s="29"/>
      <c r="J47" s="28"/>
      <c r="K47" s="28"/>
      <c r="L47" s="25" t="str">
        <f>IFERROR(IF($K47="","",MATCH($K47,Lists!$A$2:$A$13,0)-1),"")</f>
        <v/>
      </c>
      <c r="M47" s="26"/>
      <c r="N47" s="25" t="str">
        <f t="shared" ca="1" si="1"/>
        <v/>
      </c>
      <c r="O47" s="27"/>
      <c r="P47" s="26"/>
      <c r="Q47" s="27"/>
      <c r="R47" s="27"/>
    </row>
    <row r="48" spans="1:18" x14ac:dyDescent="0.25">
      <c r="A48" s="25" t="str">
        <f>IF($C48="","",COUNTA($C$5:$C48))</f>
        <v/>
      </c>
      <c r="B48" s="26"/>
      <c r="C48" s="27"/>
      <c r="D48" s="27"/>
      <c r="E48" s="27"/>
      <c r="F48" s="28"/>
      <c r="G48" s="27"/>
      <c r="H48" s="27"/>
      <c r="I48" s="29"/>
      <c r="J48" s="28"/>
      <c r="K48" s="28"/>
      <c r="L48" s="25" t="str">
        <f>IFERROR(IF($K48="","",MATCH($K48,Lists!$A$2:$A$13,0)-1),"")</f>
        <v/>
      </c>
      <c r="M48" s="26"/>
      <c r="N48" s="25" t="str">
        <f t="shared" ca="1" si="1"/>
        <v/>
      </c>
      <c r="O48" s="27"/>
      <c r="P48" s="26"/>
      <c r="Q48" s="27"/>
      <c r="R48" s="27"/>
    </row>
    <row r="49" spans="1:18" x14ac:dyDescent="0.25">
      <c r="A49" s="25" t="str">
        <f>IF($C49="","",COUNTA($C$5:$C49))</f>
        <v/>
      </c>
      <c r="B49" s="26"/>
      <c r="C49" s="27"/>
      <c r="D49" s="27"/>
      <c r="E49" s="27"/>
      <c r="F49" s="28"/>
      <c r="G49" s="27"/>
      <c r="H49" s="27"/>
      <c r="I49" s="29"/>
      <c r="J49" s="28"/>
      <c r="K49" s="28"/>
      <c r="L49" s="25" t="str">
        <f>IFERROR(IF($K49="","",MATCH($K49,Lists!$A$2:$A$13,0)-1),"")</f>
        <v/>
      </c>
      <c r="M49" s="26"/>
      <c r="N49" s="25" t="str">
        <f t="shared" ca="1" si="1"/>
        <v/>
      </c>
      <c r="O49" s="27"/>
      <c r="P49" s="26"/>
      <c r="Q49" s="27"/>
      <c r="R49" s="27"/>
    </row>
    <row r="50" spans="1:18" x14ac:dyDescent="0.25">
      <c r="A50" s="25" t="str">
        <f>IF($C50="","",COUNTA($C$5:$C50))</f>
        <v/>
      </c>
      <c r="B50" s="26"/>
      <c r="C50" s="27"/>
      <c r="D50" s="27"/>
      <c r="E50" s="27"/>
      <c r="F50" s="28"/>
      <c r="G50" s="27"/>
      <c r="H50" s="27"/>
      <c r="I50" s="29"/>
      <c r="J50" s="28"/>
      <c r="K50" s="28"/>
      <c r="L50" s="25" t="str">
        <f>IFERROR(IF($K50="","",MATCH($K50,Lists!$A$2:$A$13,0)-1),"")</f>
        <v/>
      </c>
      <c r="M50" s="26"/>
      <c r="N50" s="25" t="str">
        <f t="shared" ca="1" si="1"/>
        <v/>
      </c>
      <c r="O50" s="27"/>
      <c r="P50" s="26"/>
      <c r="Q50" s="27"/>
      <c r="R50" s="27"/>
    </row>
    <row r="51" spans="1:18" x14ac:dyDescent="0.25">
      <c r="A51" s="25" t="str">
        <f>IF($C51="","",COUNTA($C$5:$C51))</f>
        <v/>
      </c>
      <c r="B51" s="26"/>
      <c r="C51" s="27"/>
      <c r="D51" s="27"/>
      <c r="E51" s="27"/>
      <c r="F51" s="28"/>
      <c r="G51" s="27"/>
      <c r="H51" s="27"/>
      <c r="I51" s="29"/>
      <c r="J51" s="28"/>
      <c r="K51" s="28"/>
      <c r="L51" s="25" t="str">
        <f>IFERROR(IF($K51="","",MATCH($K51,Lists!$A$2:$A$13,0)-1),"")</f>
        <v/>
      </c>
      <c r="M51" s="26"/>
      <c r="N51" s="25" t="str">
        <f t="shared" ca="1" si="1"/>
        <v/>
      </c>
      <c r="O51" s="27"/>
      <c r="P51" s="26"/>
      <c r="Q51" s="27"/>
      <c r="R51" s="27"/>
    </row>
    <row r="52" spans="1:18" x14ac:dyDescent="0.25">
      <c r="A52" s="25" t="str">
        <f>IF($C52="","",COUNTA($C$5:$C52))</f>
        <v/>
      </c>
      <c r="B52" s="26"/>
      <c r="C52" s="27"/>
      <c r="D52" s="27"/>
      <c r="E52" s="27"/>
      <c r="F52" s="28"/>
      <c r="G52" s="27"/>
      <c r="H52" s="27"/>
      <c r="I52" s="29"/>
      <c r="J52" s="28"/>
      <c r="K52" s="28"/>
      <c r="L52" s="25" t="str">
        <f>IFERROR(IF($K52="","",MATCH($K52,Lists!$A$2:$A$13,0)-1),"")</f>
        <v/>
      </c>
      <c r="M52" s="26"/>
      <c r="N52" s="25" t="str">
        <f t="shared" ca="1" si="1"/>
        <v/>
      </c>
      <c r="O52" s="27"/>
      <c r="P52" s="26"/>
      <c r="Q52" s="27"/>
      <c r="R52" s="27"/>
    </row>
    <row r="53" spans="1:18" x14ac:dyDescent="0.25">
      <c r="A53" s="25" t="str">
        <f>IF($C53="","",COUNTA($C$5:$C53))</f>
        <v/>
      </c>
      <c r="B53" s="26"/>
      <c r="C53" s="27"/>
      <c r="D53" s="27"/>
      <c r="E53" s="27"/>
      <c r="F53" s="28"/>
      <c r="G53" s="27"/>
      <c r="H53" s="27"/>
      <c r="I53" s="29"/>
      <c r="J53" s="28"/>
      <c r="K53" s="28"/>
      <c r="L53" s="25" t="str">
        <f>IFERROR(IF($K53="","",MATCH($K53,Lists!$A$2:$A$13,0)-1),"")</f>
        <v/>
      </c>
      <c r="M53" s="26"/>
      <c r="N53" s="25" t="str">
        <f t="shared" ca="1" si="1"/>
        <v/>
      </c>
      <c r="O53" s="27"/>
      <c r="P53" s="26"/>
      <c r="Q53" s="27"/>
      <c r="R53" s="27"/>
    </row>
    <row r="54" spans="1:18" x14ac:dyDescent="0.25">
      <c r="A54" s="25" t="str">
        <f>IF($C54="","",COUNTA($C$5:$C54))</f>
        <v/>
      </c>
      <c r="B54" s="26"/>
      <c r="C54" s="27"/>
      <c r="D54" s="27"/>
      <c r="E54" s="27"/>
      <c r="F54" s="28"/>
      <c r="G54" s="27"/>
      <c r="H54" s="27"/>
      <c r="I54" s="29"/>
      <c r="J54" s="28"/>
      <c r="K54" s="28"/>
      <c r="L54" s="25" t="str">
        <f>IFERROR(IF($K54="","",MATCH($K54,Lists!$A$2:$A$13,0)-1),"")</f>
        <v/>
      </c>
      <c r="M54" s="26"/>
      <c r="N54" s="25" t="str">
        <f t="shared" ca="1" si="1"/>
        <v/>
      </c>
      <c r="O54" s="27"/>
      <c r="P54" s="26"/>
      <c r="Q54" s="27"/>
      <c r="R54" s="27"/>
    </row>
    <row r="55" spans="1:18" x14ac:dyDescent="0.25">
      <c r="A55" s="25" t="str">
        <f>IF($C55="","",COUNTA($C$5:$C55))</f>
        <v/>
      </c>
      <c r="B55" s="26"/>
      <c r="C55" s="27"/>
      <c r="D55" s="27"/>
      <c r="E55" s="27"/>
      <c r="F55" s="28"/>
      <c r="G55" s="27"/>
      <c r="H55" s="27"/>
      <c r="I55" s="29"/>
      <c r="J55" s="28"/>
      <c r="K55" s="28"/>
      <c r="L55" s="25" t="str">
        <f>IFERROR(IF($K55="","",MATCH($K55,Lists!$A$2:$A$13,0)-1),"")</f>
        <v/>
      </c>
      <c r="M55" s="26"/>
      <c r="N55" s="25" t="str">
        <f t="shared" ca="1" si="1"/>
        <v/>
      </c>
      <c r="O55" s="27"/>
      <c r="P55" s="26"/>
      <c r="Q55" s="27"/>
      <c r="R55" s="27"/>
    </row>
    <row r="56" spans="1:18" x14ac:dyDescent="0.25">
      <c r="A56" s="25" t="str">
        <f>IF($C56="","",COUNTA($C$5:$C56))</f>
        <v/>
      </c>
      <c r="B56" s="26"/>
      <c r="C56" s="27"/>
      <c r="D56" s="27"/>
      <c r="E56" s="27"/>
      <c r="F56" s="28"/>
      <c r="G56" s="27"/>
      <c r="H56" s="27"/>
      <c r="I56" s="29"/>
      <c r="J56" s="28"/>
      <c r="K56" s="28"/>
      <c r="L56" s="25" t="str">
        <f>IFERROR(IF($K56="","",MATCH($K56,Lists!$A$2:$A$13,0)-1),"")</f>
        <v/>
      </c>
      <c r="M56" s="26"/>
      <c r="N56" s="25" t="str">
        <f t="shared" ca="1" si="1"/>
        <v/>
      </c>
      <c r="O56" s="27"/>
      <c r="P56" s="26"/>
      <c r="Q56" s="27"/>
      <c r="R56" s="27"/>
    </row>
    <row r="57" spans="1:18" x14ac:dyDescent="0.25">
      <c r="A57" s="25" t="str">
        <f>IF($C57="","",COUNTA($C$5:$C57))</f>
        <v/>
      </c>
      <c r="B57" s="26"/>
      <c r="C57" s="27"/>
      <c r="D57" s="27"/>
      <c r="E57" s="27"/>
      <c r="F57" s="28"/>
      <c r="G57" s="27"/>
      <c r="H57" s="27"/>
      <c r="I57" s="29"/>
      <c r="J57" s="28"/>
      <c r="K57" s="28"/>
      <c r="L57" s="25" t="str">
        <f>IFERROR(IF($K57="","",MATCH($K57,Lists!$A$2:$A$13,0)-1),"")</f>
        <v/>
      </c>
      <c r="M57" s="26"/>
      <c r="N57" s="25" t="str">
        <f t="shared" ca="1" si="1"/>
        <v/>
      </c>
      <c r="O57" s="27"/>
      <c r="P57" s="26"/>
      <c r="Q57" s="27"/>
      <c r="R57" s="27"/>
    </row>
    <row r="58" spans="1:18" x14ac:dyDescent="0.25">
      <c r="A58" s="25" t="str">
        <f>IF($C58="","",COUNTA($C$5:$C58))</f>
        <v/>
      </c>
      <c r="B58" s="26"/>
      <c r="C58" s="27"/>
      <c r="D58" s="27"/>
      <c r="E58" s="27"/>
      <c r="F58" s="28"/>
      <c r="G58" s="27"/>
      <c r="H58" s="27"/>
      <c r="I58" s="29"/>
      <c r="J58" s="28"/>
      <c r="K58" s="28"/>
      <c r="L58" s="25" t="str">
        <f>IFERROR(IF($K58="","",MATCH($K58,Lists!$A$2:$A$13,0)-1),"")</f>
        <v/>
      </c>
      <c r="M58" s="26"/>
      <c r="N58" s="25" t="str">
        <f t="shared" ca="1" si="1"/>
        <v/>
      </c>
      <c r="O58" s="27"/>
      <c r="P58" s="26"/>
      <c r="Q58" s="27"/>
      <c r="R58" s="27"/>
    </row>
    <row r="59" spans="1:18" x14ac:dyDescent="0.25">
      <c r="A59" s="25" t="str">
        <f>IF($C59="","",COUNTA($C$5:$C59))</f>
        <v/>
      </c>
      <c r="B59" s="26"/>
      <c r="C59" s="27"/>
      <c r="D59" s="27"/>
      <c r="E59" s="27"/>
      <c r="F59" s="28"/>
      <c r="G59" s="27"/>
      <c r="H59" s="27"/>
      <c r="I59" s="29"/>
      <c r="J59" s="28"/>
      <c r="K59" s="28"/>
      <c r="L59" s="25" t="str">
        <f>IFERROR(IF($K59="","",MATCH($K59,Lists!$A$2:$A$13,0)-1),"")</f>
        <v/>
      </c>
      <c r="M59" s="26"/>
      <c r="N59" s="25" t="str">
        <f t="shared" ca="1" si="1"/>
        <v/>
      </c>
      <c r="O59" s="27"/>
      <c r="P59" s="26"/>
      <c r="Q59" s="27"/>
      <c r="R59" s="27"/>
    </row>
    <row r="60" spans="1:18" x14ac:dyDescent="0.25">
      <c r="A60" s="25" t="str">
        <f>IF($C60="","",COUNTA($C$5:$C60))</f>
        <v/>
      </c>
      <c r="B60" s="26"/>
      <c r="C60" s="27"/>
      <c r="D60" s="27"/>
      <c r="E60" s="27"/>
      <c r="F60" s="28"/>
      <c r="G60" s="27"/>
      <c r="H60" s="27"/>
      <c r="I60" s="29"/>
      <c r="J60" s="28"/>
      <c r="K60" s="28"/>
      <c r="L60" s="25" t="str">
        <f>IFERROR(IF($K60="","",MATCH($K60,Lists!$A$2:$A$13,0)-1),"")</f>
        <v/>
      </c>
      <c r="M60" s="26"/>
      <c r="N60" s="25" t="str">
        <f t="shared" ca="1" si="1"/>
        <v/>
      </c>
      <c r="O60" s="27"/>
      <c r="P60" s="26"/>
      <c r="Q60" s="27"/>
      <c r="R60" s="27"/>
    </row>
    <row r="61" spans="1:18" x14ac:dyDescent="0.25">
      <c r="A61" s="25" t="str">
        <f>IF($C61="","",COUNTA($C$5:$C61))</f>
        <v/>
      </c>
      <c r="B61" s="26"/>
      <c r="C61" s="27"/>
      <c r="D61" s="27"/>
      <c r="E61" s="27"/>
      <c r="F61" s="28"/>
      <c r="G61" s="27"/>
      <c r="H61" s="27"/>
      <c r="I61" s="29"/>
      <c r="J61" s="28"/>
      <c r="K61" s="28"/>
      <c r="L61" s="25" t="str">
        <f>IFERROR(IF($K61="","",MATCH($K61,Lists!$A$2:$A$13,0)-1),"")</f>
        <v/>
      </c>
      <c r="M61" s="26"/>
      <c r="N61" s="25" t="str">
        <f t="shared" ca="1" si="1"/>
        <v/>
      </c>
      <c r="O61" s="27"/>
      <c r="P61" s="26"/>
      <c r="Q61" s="27"/>
      <c r="R61" s="27"/>
    </row>
    <row r="62" spans="1:18" x14ac:dyDescent="0.25">
      <c r="A62" s="25" t="str">
        <f>IF($C62="","",COUNTA($C$5:$C62))</f>
        <v/>
      </c>
      <c r="B62" s="26"/>
      <c r="C62" s="27"/>
      <c r="D62" s="27"/>
      <c r="E62" s="27"/>
      <c r="F62" s="28"/>
      <c r="G62" s="27"/>
      <c r="H62" s="27"/>
      <c r="I62" s="29"/>
      <c r="J62" s="28"/>
      <c r="K62" s="28"/>
      <c r="L62" s="25" t="str">
        <f>IFERROR(IF($K62="","",MATCH($K62,Lists!$A$2:$A$13,0)-1),"")</f>
        <v/>
      </c>
      <c r="M62" s="26"/>
      <c r="N62" s="25" t="str">
        <f t="shared" ca="1" si="1"/>
        <v/>
      </c>
      <c r="O62" s="27"/>
      <c r="P62" s="26"/>
      <c r="Q62" s="27"/>
      <c r="R62" s="27"/>
    </row>
    <row r="63" spans="1:18" x14ac:dyDescent="0.25">
      <c r="A63" s="25" t="str">
        <f>IF($C63="","",COUNTA($C$5:$C63))</f>
        <v/>
      </c>
      <c r="B63" s="26"/>
      <c r="C63" s="27"/>
      <c r="D63" s="27"/>
      <c r="E63" s="27"/>
      <c r="F63" s="28"/>
      <c r="G63" s="27"/>
      <c r="H63" s="27"/>
      <c r="I63" s="29"/>
      <c r="J63" s="28"/>
      <c r="K63" s="28"/>
      <c r="L63" s="25" t="str">
        <f>IFERROR(IF($K63="","",MATCH($K63,Lists!$A$2:$A$13,0)-1),"")</f>
        <v/>
      </c>
      <c r="M63" s="26"/>
      <c r="N63" s="25" t="str">
        <f t="shared" ca="1" si="1"/>
        <v/>
      </c>
      <c r="O63" s="27"/>
      <c r="P63" s="26"/>
      <c r="Q63" s="27"/>
      <c r="R63" s="27"/>
    </row>
    <row r="64" spans="1:18" x14ac:dyDescent="0.25">
      <c r="A64" s="25" t="str">
        <f>IF($C64="","",COUNTA($C$5:$C64))</f>
        <v/>
      </c>
      <c r="B64" s="26"/>
      <c r="C64" s="27"/>
      <c r="D64" s="27"/>
      <c r="E64" s="27"/>
      <c r="F64" s="28"/>
      <c r="G64" s="27"/>
      <c r="H64" s="27"/>
      <c r="I64" s="29"/>
      <c r="J64" s="28"/>
      <c r="K64" s="28"/>
      <c r="L64" s="25" t="str">
        <f>IFERROR(IF($K64="","",MATCH($K64,Lists!$A$2:$A$13,0)-1),"")</f>
        <v/>
      </c>
      <c r="M64" s="26"/>
      <c r="N64" s="25" t="str">
        <f t="shared" ca="1" si="1"/>
        <v/>
      </c>
      <c r="O64" s="27"/>
      <c r="P64" s="26"/>
      <c r="Q64" s="27"/>
      <c r="R64" s="27"/>
    </row>
    <row r="65" spans="1:18" x14ac:dyDescent="0.25">
      <c r="A65" s="25" t="str">
        <f>IF($C65="","",COUNTA($C$5:$C65))</f>
        <v/>
      </c>
      <c r="B65" s="26"/>
      <c r="C65" s="27"/>
      <c r="D65" s="27"/>
      <c r="E65" s="27"/>
      <c r="F65" s="28"/>
      <c r="G65" s="27"/>
      <c r="H65" s="27"/>
      <c r="I65" s="29"/>
      <c r="J65" s="28"/>
      <c r="K65" s="28"/>
      <c r="L65" s="25" t="str">
        <f>IFERROR(IF($K65="","",MATCH($K65,Lists!$A$2:$A$13,0)-1),"")</f>
        <v/>
      </c>
      <c r="M65" s="26"/>
      <c r="N65" s="25" t="str">
        <f t="shared" ca="1" si="1"/>
        <v/>
      </c>
      <c r="O65" s="27"/>
      <c r="P65" s="26"/>
      <c r="Q65" s="27"/>
      <c r="R65" s="27"/>
    </row>
    <row r="66" spans="1:18" x14ac:dyDescent="0.25">
      <c r="A66" s="25" t="str">
        <f>IF($C66="","",COUNTA($C$5:$C66))</f>
        <v/>
      </c>
      <c r="B66" s="26"/>
      <c r="C66" s="27"/>
      <c r="D66" s="27"/>
      <c r="E66" s="27"/>
      <c r="F66" s="28"/>
      <c r="G66" s="27"/>
      <c r="H66" s="27"/>
      <c r="I66" s="29"/>
      <c r="J66" s="28"/>
      <c r="K66" s="28"/>
      <c r="L66" s="25" t="str">
        <f>IFERROR(IF($K66="","",MATCH($K66,Lists!$A$2:$A$13,0)-1),"")</f>
        <v/>
      </c>
      <c r="M66" s="26"/>
      <c r="N66" s="25" t="str">
        <f t="shared" ca="1" si="1"/>
        <v/>
      </c>
      <c r="O66" s="27"/>
      <c r="P66" s="26"/>
      <c r="Q66" s="27"/>
      <c r="R66" s="27"/>
    </row>
    <row r="67" spans="1:18" x14ac:dyDescent="0.25">
      <c r="A67" s="25" t="str">
        <f>IF($C67="","",COUNTA($C$5:$C67))</f>
        <v/>
      </c>
      <c r="B67" s="26"/>
      <c r="C67" s="27"/>
      <c r="D67" s="27"/>
      <c r="E67" s="27"/>
      <c r="F67" s="28"/>
      <c r="G67" s="27"/>
      <c r="H67" s="27"/>
      <c r="I67" s="29"/>
      <c r="J67" s="28"/>
      <c r="K67" s="28"/>
      <c r="L67" s="25" t="str">
        <f>IFERROR(IF($K67="","",MATCH($K67,Lists!$A$2:$A$13,0)-1),"")</f>
        <v/>
      </c>
      <c r="M67" s="26"/>
      <c r="N67" s="25" t="str">
        <f t="shared" ca="1" si="1"/>
        <v/>
      </c>
      <c r="O67" s="27"/>
      <c r="P67" s="26"/>
      <c r="Q67" s="27"/>
      <c r="R67" s="27"/>
    </row>
    <row r="68" spans="1:18" x14ac:dyDescent="0.25">
      <c r="A68" s="25" t="str">
        <f>IF($C68="","",COUNTA($C$5:$C68))</f>
        <v/>
      </c>
      <c r="B68" s="26"/>
      <c r="C68" s="27"/>
      <c r="D68" s="27"/>
      <c r="E68" s="27"/>
      <c r="F68" s="28"/>
      <c r="G68" s="27"/>
      <c r="H68" s="27"/>
      <c r="I68" s="29"/>
      <c r="J68" s="28"/>
      <c r="K68" s="28"/>
      <c r="L68" s="25" t="str">
        <f>IFERROR(IF($K68="","",MATCH($K68,Lists!$A$2:$A$13,0)-1),"")</f>
        <v/>
      </c>
      <c r="M68" s="26"/>
      <c r="N68" s="25" t="str">
        <f t="shared" ca="1" si="1"/>
        <v/>
      </c>
      <c r="O68" s="27"/>
      <c r="P68" s="26"/>
      <c r="Q68" s="27"/>
      <c r="R68" s="27"/>
    </row>
    <row r="69" spans="1:18" x14ac:dyDescent="0.25">
      <c r="A69" s="25" t="str">
        <f>IF($C69="","",COUNTA($C$5:$C69))</f>
        <v/>
      </c>
      <c r="B69" s="26"/>
      <c r="C69" s="27"/>
      <c r="D69" s="27"/>
      <c r="E69" s="27"/>
      <c r="F69" s="28"/>
      <c r="G69" s="27"/>
      <c r="H69" s="27"/>
      <c r="I69" s="29"/>
      <c r="J69" s="28"/>
      <c r="K69" s="28"/>
      <c r="L69" s="25" t="str">
        <f>IFERROR(IF($K69="","",MATCH($K69,Lists!$A$2:$A$13,0)-1),"")</f>
        <v/>
      </c>
      <c r="M69" s="26"/>
      <c r="N69" s="25" t="str">
        <f t="shared" ref="N69:N100" ca="1" si="2">IF($B69="","",TODAY()-$B69)</f>
        <v/>
      </c>
      <c r="O69" s="27"/>
      <c r="P69" s="26"/>
      <c r="Q69" s="27"/>
      <c r="R69" s="27"/>
    </row>
    <row r="70" spans="1:18" x14ac:dyDescent="0.25">
      <c r="A70" s="25" t="str">
        <f>IF($C70="","",COUNTA($C$5:$C70))</f>
        <v/>
      </c>
      <c r="B70" s="26"/>
      <c r="C70" s="27"/>
      <c r="D70" s="27"/>
      <c r="E70" s="27"/>
      <c r="F70" s="28"/>
      <c r="G70" s="27"/>
      <c r="H70" s="27"/>
      <c r="I70" s="29"/>
      <c r="J70" s="28"/>
      <c r="K70" s="28"/>
      <c r="L70" s="25" t="str">
        <f>IFERROR(IF($K70="","",MATCH($K70,Lists!$A$2:$A$13,0)-1),"")</f>
        <v/>
      </c>
      <c r="M70" s="26"/>
      <c r="N70" s="25" t="str">
        <f t="shared" ca="1" si="2"/>
        <v/>
      </c>
      <c r="O70" s="27"/>
      <c r="P70" s="26"/>
      <c r="Q70" s="27"/>
      <c r="R70" s="27"/>
    </row>
    <row r="71" spans="1:18" x14ac:dyDescent="0.25">
      <c r="A71" s="25" t="str">
        <f>IF($C71="","",COUNTA($C$5:$C71))</f>
        <v/>
      </c>
      <c r="B71" s="26"/>
      <c r="C71" s="27"/>
      <c r="D71" s="27"/>
      <c r="E71" s="27"/>
      <c r="F71" s="28"/>
      <c r="G71" s="27"/>
      <c r="H71" s="27"/>
      <c r="I71" s="29"/>
      <c r="J71" s="28"/>
      <c r="K71" s="28"/>
      <c r="L71" s="25" t="str">
        <f>IFERROR(IF($K71="","",MATCH($K71,Lists!$A$2:$A$13,0)-1),"")</f>
        <v/>
      </c>
      <c r="M71" s="26"/>
      <c r="N71" s="25" t="str">
        <f t="shared" ca="1" si="2"/>
        <v/>
      </c>
      <c r="O71" s="27"/>
      <c r="P71" s="26"/>
      <c r="Q71" s="27"/>
      <c r="R71" s="27"/>
    </row>
    <row r="72" spans="1:18" x14ac:dyDescent="0.25">
      <c r="A72" s="25" t="str">
        <f>IF($C72="","",COUNTA($C$5:$C72))</f>
        <v/>
      </c>
      <c r="B72" s="26"/>
      <c r="C72" s="27"/>
      <c r="D72" s="27"/>
      <c r="E72" s="27"/>
      <c r="F72" s="28"/>
      <c r="G72" s="27"/>
      <c r="H72" s="27"/>
      <c r="I72" s="29"/>
      <c r="J72" s="28"/>
      <c r="K72" s="28"/>
      <c r="L72" s="25" t="str">
        <f>IFERROR(IF($K72="","",MATCH($K72,Lists!$A$2:$A$13,0)-1),"")</f>
        <v/>
      </c>
      <c r="M72" s="26"/>
      <c r="N72" s="25" t="str">
        <f t="shared" ca="1" si="2"/>
        <v/>
      </c>
      <c r="O72" s="27"/>
      <c r="P72" s="26"/>
      <c r="Q72" s="27"/>
      <c r="R72" s="27"/>
    </row>
    <row r="73" spans="1:18" x14ac:dyDescent="0.25">
      <c r="A73" s="25" t="str">
        <f>IF($C73="","",COUNTA($C$5:$C73))</f>
        <v/>
      </c>
      <c r="B73" s="26"/>
      <c r="C73" s="27"/>
      <c r="D73" s="27"/>
      <c r="E73" s="27"/>
      <c r="F73" s="28"/>
      <c r="G73" s="27"/>
      <c r="H73" s="27"/>
      <c r="I73" s="29"/>
      <c r="J73" s="28"/>
      <c r="K73" s="28"/>
      <c r="L73" s="25" t="str">
        <f>IFERROR(IF($K73="","",MATCH($K73,Lists!$A$2:$A$13,0)-1),"")</f>
        <v/>
      </c>
      <c r="M73" s="26"/>
      <c r="N73" s="25" t="str">
        <f t="shared" ca="1" si="2"/>
        <v/>
      </c>
      <c r="O73" s="27"/>
      <c r="P73" s="26"/>
      <c r="Q73" s="27"/>
      <c r="R73" s="27"/>
    </row>
    <row r="74" spans="1:18" x14ac:dyDescent="0.25">
      <c r="A74" s="25" t="str">
        <f>IF($C74="","",COUNTA($C$5:$C74))</f>
        <v/>
      </c>
      <c r="B74" s="26"/>
      <c r="C74" s="27"/>
      <c r="D74" s="27"/>
      <c r="E74" s="27"/>
      <c r="F74" s="28"/>
      <c r="G74" s="27"/>
      <c r="H74" s="27"/>
      <c r="I74" s="29"/>
      <c r="J74" s="28"/>
      <c r="K74" s="28"/>
      <c r="L74" s="25" t="str">
        <f>IFERROR(IF($K74="","",MATCH($K74,Lists!$A$2:$A$13,0)-1),"")</f>
        <v/>
      </c>
      <c r="M74" s="26"/>
      <c r="N74" s="25" t="str">
        <f t="shared" ca="1" si="2"/>
        <v/>
      </c>
      <c r="O74" s="27"/>
      <c r="P74" s="26"/>
      <c r="Q74" s="27"/>
      <c r="R74" s="27"/>
    </row>
    <row r="75" spans="1:18" x14ac:dyDescent="0.25">
      <c r="A75" s="25" t="str">
        <f>IF($C75="","",COUNTA($C$5:$C75))</f>
        <v/>
      </c>
      <c r="B75" s="26"/>
      <c r="C75" s="27"/>
      <c r="D75" s="27"/>
      <c r="E75" s="27"/>
      <c r="F75" s="28"/>
      <c r="G75" s="27"/>
      <c r="H75" s="27"/>
      <c r="I75" s="29"/>
      <c r="J75" s="28"/>
      <c r="K75" s="28"/>
      <c r="L75" s="25" t="str">
        <f>IFERROR(IF($K75="","",MATCH($K75,Lists!$A$2:$A$13,0)-1),"")</f>
        <v/>
      </c>
      <c r="M75" s="26"/>
      <c r="N75" s="25" t="str">
        <f t="shared" ca="1" si="2"/>
        <v/>
      </c>
      <c r="O75" s="27"/>
      <c r="P75" s="26"/>
      <c r="Q75" s="27"/>
      <c r="R75" s="27"/>
    </row>
    <row r="76" spans="1:18" x14ac:dyDescent="0.25">
      <c r="A76" s="25" t="str">
        <f>IF($C76="","",COUNTA($C$5:$C76))</f>
        <v/>
      </c>
      <c r="B76" s="26"/>
      <c r="C76" s="27"/>
      <c r="D76" s="27"/>
      <c r="E76" s="27"/>
      <c r="F76" s="28"/>
      <c r="G76" s="27"/>
      <c r="H76" s="27"/>
      <c r="I76" s="29"/>
      <c r="J76" s="28"/>
      <c r="K76" s="28"/>
      <c r="L76" s="25" t="str">
        <f>IFERROR(IF($K76="","",MATCH($K76,Lists!$A$2:$A$13,0)-1),"")</f>
        <v/>
      </c>
      <c r="M76" s="26"/>
      <c r="N76" s="25" t="str">
        <f t="shared" ca="1" si="2"/>
        <v/>
      </c>
      <c r="O76" s="27"/>
      <c r="P76" s="26"/>
      <c r="Q76" s="27"/>
      <c r="R76" s="27"/>
    </row>
    <row r="77" spans="1:18" x14ac:dyDescent="0.25">
      <c r="A77" s="25" t="str">
        <f>IF($C77="","",COUNTA($C$5:$C77))</f>
        <v/>
      </c>
      <c r="B77" s="26"/>
      <c r="C77" s="27"/>
      <c r="D77" s="27"/>
      <c r="E77" s="27"/>
      <c r="F77" s="28"/>
      <c r="G77" s="27"/>
      <c r="H77" s="27"/>
      <c r="I77" s="29"/>
      <c r="J77" s="28"/>
      <c r="K77" s="28"/>
      <c r="L77" s="25" t="str">
        <f>IFERROR(IF($K77="","",MATCH($K77,Lists!$A$2:$A$13,0)-1),"")</f>
        <v/>
      </c>
      <c r="M77" s="26"/>
      <c r="N77" s="25" t="str">
        <f t="shared" ca="1" si="2"/>
        <v/>
      </c>
      <c r="O77" s="27"/>
      <c r="P77" s="26"/>
      <c r="Q77" s="27"/>
      <c r="R77" s="27"/>
    </row>
    <row r="78" spans="1:18" x14ac:dyDescent="0.25">
      <c r="A78" s="25" t="str">
        <f>IF($C78="","",COUNTA($C$5:$C78))</f>
        <v/>
      </c>
      <c r="B78" s="26"/>
      <c r="C78" s="27"/>
      <c r="D78" s="27"/>
      <c r="E78" s="27"/>
      <c r="F78" s="28"/>
      <c r="G78" s="27"/>
      <c r="H78" s="27"/>
      <c r="I78" s="29"/>
      <c r="J78" s="28"/>
      <c r="K78" s="28"/>
      <c r="L78" s="25" t="str">
        <f>IFERROR(IF($K78="","",MATCH($K78,Lists!$A$2:$A$13,0)-1),"")</f>
        <v/>
      </c>
      <c r="M78" s="26"/>
      <c r="N78" s="25" t="str">
        <f t="shared" ca="1" si="2"/>
        <v/>
      </c>
      <c r="O78" s="27"/>
      <c r="P78" s="26"/>
      <c r="Q78" s="27"/>
      <c r="R78" s="27"/>
    </row>
    <row r="79" spans="1:18" x14ac:dyDescent="0.25">
      <c r="A79" s="25" t="str">
        <f>IF($C79="","",COUNTA($C$5:$C79))</f>
        <v/>
      </c>
      <c r="B79" s="26"/>
      <c r="C79" s="27"/>
      <c r="D79" s="27"/>
      <c r="E79" s="27"/>
      <c r="F79" s="28"/>
      <c r="G79" s="27"/>
      <c r="H79" s="27"/>
      <c r="I79" s="29"/>
      <c r="J79" s="28"/>
      <c r="K79" s="28"/>
      <c r="L79" s="25" t="str">
        <f>IFERROR(IF($K79="","",MATCH($K79,Lists!$A$2:$A$13,0)-1),"")</f>
        <v/>
      </c>
      <c r="M79" s="26"/>
      <c r="N79" s="25" t="str">
        <f t="shared" ca="1" si="2"/>
        <v/>
      </c>
      <c r="O79" s="27"/>
      <c r="P79" s="26"/>
      <c r="Q79" s="27"/>
      <c r="R79" s="27"/>
    </row>
    <row r="80" spans="1:18" x14ac:dyDescent="0.25">
      <c r="A80" s="25" t="str">
        <f>IF($C80="","",COUNTA($C$5:$C80))</f>
        <v/>
      </c>
      <c r="B80" s="26"/>
      <c r="C80" s="27"/>
      <c r="D80" s="27"/>
      <c r="E80" s="27"/>
      <c r="F80" s="28"/>
      <c r="G80" s="27"/>
      <c r="H80" s="27"/>
      <c r="I80" s="29"/>
      <c r="J80" s="28"/>
      <c r="K80" s="28"/>
      <c r="L80" s="25" t="str">
        <f>IFERROR(IF($K80="","",MATCH($K80,Lists!$A$2:$A$13,0)-1),"")</f>
        <v/>
      </c>
      <c r="M80" s="26"/>
      <c r="N80" s="25" t="str">
        <f t="shared" ca="1" si="2"/>
        <v/>
      </c>
      <c r="O80" s="27"/>
      <c r="P80" s="26"/>
      <c r="Q80" s="27"/>
      <c r="R80" s="27"/>
    </row>
    <row r="81" spans="1:18" x14ac:dyDescent="0.25">
      <c r="A81" s="25" t="str">
        <f>IF($C81="","",COUNTA($C$5:$C81))</f>
        <v/>
      </c>
      <c r="B81" s="26"/>
      <c r="C81" s="27"/>
      <c r="D81" s="27"/>
      <c r="E81" s="27"/>
      <c r="F81" s="28"/>
      <c r="G81" s="27"/>
      <c r="H81" s="27"/>
      <c r="I81" s="29"/>
      <c r="J81" s="28"/>
      <c r="K81" s="28"/>
      <c r="L81" s="25" t="str">
        <f>IFERROR(IF($K81="","",MATCH($K81,Lists!$A$2:$A$13,0)-1),"")</f>
        <v/>
      </c>
      <c r="M81" s="26"/>
      <c r="N81" s="25" t="str">
        <f t="shared" ca="1" si="2"/>
        <v/>
      </c>
      <c r="O81" s="27"/>
      <c r="P81" s="26"/>
      <c r="Q81" s="27"/>
      <c r="R81" s="27"/>
    </row>
    <row r="82" spans="1:18" x14ac:dyDescent="0.25">
      <c r="A82" s="25" t="str">
        <f>IF($C82="","",COUNTA($C$5:$C82))</f>
        <v/>
      </c>
      <c r="B82" s="26"/>
      <c r="C82" s="27"/>
      <c r="D82" s="27"/>
      <c r="E82" s="27"/>
      <c r="F82" s="28"/>
      <c r="G82" s="27"/>
      <c r="H82" s="27"/>
      <c r="I82" s="29"/>
      <c r="J82" s="28"/>
      <c r="K82" s="28"/>
      <c r="L82" s="25" t="str">
        <f>IFERROR(IF($K82="","",MATCH($K82,Lists!$A$2:$A$13,0)-1),"")</f>
        <v/>
      </c>
      <c r="M82" s="26"/>
      <c r="N82" s="25" t="str">
        <f t="shared" ca="1" si="2"/>
        <v/>
      </c>
      <c r="O82" s="27"/>
      <c r="P82" s="26"/>
      <c r="Q82" s="27"/>
      <c r="R82" s="27"/>
    </row>
    <row r="83" spans="1:18" x14ac:dyDescent="0.25">
      <c r="A83" s="25" t="str">
        <f>IF($C83="","",COUNTA($C$5:$C83))</f>
        <v/>
      </c>
      <c r="B83" s="26"/>
      <c r="C83" s="27"/>
      <c r="D83" s="27"/>
      <c r="E83" s="27"/>
      <c r="F83" s="28"/>
      <c r="G83" s="27"/>
      <c r="H83" s="27"/>
      <c r="I83" s="29"/>
      <c r="J83" s="28"/>
      <c r="K83" s="28"/>
      <c r="L83" s="25" t="str">
        <f>IFERROR(IF($K83="","",MATCH($K83,Lists!$A$2:$A$13,0)-1),"")</f>
        <v/>
      </c>
      <c r="M83" s="26"/>
      <c r="N83" s="25" t="str">
        <f t="shared" ca="1" si="2"/>
        <v/>
      </c>
      <c r="O83" s="27"/>
      <c r="P83" s="26"/>
      <c r="Q83" s="27"/>
      <c r="R83" s="27"/>
    </row>
    <row r="84" spans="1:18" x14ac:dyDescent="0.25">
      <c r="A84" s="25" t="str">
        <f>IF($C84="","",COUNTA($C$5:$C84))</f>
        <v/>
      </c>
      <c r="B84" s="26"/>
      <c r="C84" s="27"/>
      <c r="D84" s="27"/>
      <c r="E84" s="27"/>
      <c r="F84" s="28"/>
      <c r="G84" s="27"/>
      <c r="H84" s="27"/>
      <c r="I84" s="29"/>
      <c r="J84" s="28"/>
      <c r="K84" s="28"/>
      <c r="L84" s="25" t="str">
        <f>IFERROR(IF($K84="","",MATCH($K84,Lists!$A$2:$A$13,0)-1),"")</f>
        <v/>
      </c>
      <c r="M84" s="26"/>
      <c r="N84" s="25" t="str">
        <f t="shared" ca="1" si="2"/>
        <v/>
      </c>
      <c r="O84" s="27"/>
      <c r="P84" s="26"/>
      <c r="Q84" s="27"/>
      <c r="R84" s="27"/>
    </row>
    <row r="85" spans="1:18" x14ac:dyDescent="0.25">
      <c r="A85" s="25" t="str">
        <f>IF($C85="","",COUNTA($C$5:$C85))</f>
        <v/>
      </c>
      <c r="B85" s="26"/>
      <c r="C85" s="27"/>
      <c r="D85" s="27"/>
      <c r="E85" s="27"/>
      <c r="F85" s="28"/>
      <c r="G85" s="27"/>
      <c r="H85" s="27"/>
      <c r="I85" s="29"/>
      <c r="J85" s="28"/>
      <c r="K85" s="28"/>
      <c r="L85" s="25" t="str">
        <f>IFERROR(IF($K85="","",MATCH($K85,Lists!$A$2:$A$13,0)-1),"")</f>
        <v/>
      </c>
      <c r="M85" s="26"/>
      <c r="N85" s="25" t="str">
        <f t="shared" ca="1" si="2"/>
        <v/>
      </c>
      <c r="O85" s="27"/>
      <c r="P85" s="26"/>
      <c r="Q85" s="27"/>
      <c r="R85" s="27"/>
    </row>
    <row r="86" spans="1:18" x14ac:dyDescent="0.25">
      <c r="A86" s="25" t="str">
        <f>IF($C86="","",COUNTA($C$5:$C86))</f>
        <v/>
      </c>
      <c r="B86" s="26"/>
      <c r="C86" s="27"/>
      <c r="D86" s="27"/>
      <c r="E86" s="27"/>
      <c r="F86" s="28"/>
      <c r="G86" s="27"/>
      <c r="H86" s="27"/>
      <c r="I86" s="29"/>
      <c r="J86" s="28"/>
      <c r="K86" s="28"/>
      <c r="L86" s="25" t="str">
        <f>IFERROR(IF($K86="","",MATCH($K86,Lists!$A$2:$A$13,0)-1),"")</f>
        <v/>
      </c>
      <c r="M86" s="26"/>
      <c r="N86" s="25" t="str">
        <f t="shared" ca="1" si="2"/>
        <v/>
      </c>
      <c r="O86" s="27"/>
      <c r="P86" s="26"/>
      <c r="Q86" s="27"/>
      <c r="R86" s="27"/>
    </row>
    <row r="87" spans="1:18" x14ac:dyDescent="0.25">
      <c r="A87" s="25" t="str">
        <f>IF($C87="","",COUNTA($C$5:$C87))</f>
        <v/>
      </c>
      <c r="B87" s="26"/>
      <c r="C87" s="27"/>
      <c r="D87" s="27"/>
      <c r="E87" s="27"/>
      <c r="F87" s="28"/>
      <c r="G87" s="27"/>
      <c r="H87" s="27"/>
      <c r="I87" s="29"/>
      <c r="J87" s="28"/>
      <c r="K87" s="28"/>
      <c r="L87" s="25" t="str">
        <f>IFERROR(IF($K87="","",MATCH($K87,Lists!$A$2:$A$13,0)-1),"")</f>
        <v/>
      </c>
      <c r="M87" s="26"/>
      <c r="N87" s="25" t="str">
        <f t="shared" ca="1" si="2"/>
        <v/>
      </c>
      <c r="O87" s="27"/>
      <c r="P87" s="26"/>
      <c r="Q87" s="27"/>
      <c r="R87" s="27"/>
    </row>
    <row r="88" spans="1:18" x14ac:dyDescent="0.25">
      <c r="A88" s="25" t="str">
        <f>IF($C88="","",COUNTA($C$5:$C88))</f>
        <v/>
      </c>
      <c r="B88" s="26"/>
      <c r="C88" s="27"/>
      <c r="D88" s="27"/>
      <c r="E88" s="27"/>
      <c r="F88" s="28"/>
      <c r="G88" s="27"/>
      <c r="H88" s="27"/>
      <c r="I88" s="29"/>
      <c r="J88" s="28"/>
      <c r="K88" s="28"/>
      <c r="L88" s="25" t="str">
        <f>IFERROR(IF($K88="","",MATCH($K88,Lists!$A$2:$A$13,0)-1),"")</f>
        <v/>
      </c>
      <c r="M88" s="26"/>
      <c r="N88" s="25" t="str">
        <f t="shared" ca="1" si="2"/>
        <v/>
      </c>
      <c r="O88" s="27"/>
      <c r="P88" s="26"/>
      <c r="Q88" s="27"/>
      <c r="R88" s="27"/>
    </row>
    <row r="89" spans="1:18" x14ac:dyDescent="0.25">
      <c r="A89" s="25" t="str">
        <f>IF($C89="","",COUNTA($C$5:$C89))</f>
        <v/>
      </c>
      <c r="B89" s="26"/>
      <c r="C89" s="27"/>
      <c r="D89" s="27"/>
      <c r="E89" s="27"/>
      <c r="F89" s="28"/>
      <c r="G89" s="27"/>
      <c r="H89" s="27"/>
      <c r="I89" s="29"/>
      <c r="J89" s="28"/>
      <c r="K89" s="28"/>
      <c r="L89" s="25" t="str">
        <f>IFERROR(IF($K89="","",MATCH($K89,Lists!$A$2:$A$13,0)-1),"")</f>
        <v/>
      </c>
      <c r="M89" s="26"/>
      <c r="N89" s="25" t="str">
        <f t="shared" ca="1" si="2"/>
        <v/>
      </c>
      <c r="O89" s="27"/>
      <c r="P89" s="26"/>
      <c r="Q89" s="27"/>
      <c r="R89" s="27"/>
    </row>
    <row r="90" spans="1:18" x14ac:dyDescent="0.25">
      <c r="A90" s="25" t="str">
        <f>IF($C90="","",COUNTA($C$5:$C90))</f>
        <v/>
      </c>
      <c r="B90" s="26"/>
      <c r="C90" s="27"/>
      <c r="D90" s="27"/>
      <c r="E90" s="27"/>
      <c r="F90" s="28"/>
      <c r="G90" s="27"/>
      <c r="H90" s="27"/>
      <c r="I90" s="29"/>
      <c r="J90" s="28"/>
      <c r="K90" s="28"/>
      <c r="L90" s="25" t="str">
        <f>IFERROR(IF($K90="","",MATCH($K90,Lists!$A$2:$A$13,0)-1),"")</f>
        <v/>
      </c>
      <c r="M90" s="26"/>
      <c r="N90" s="25" t="str">
        <f t="shared" ca="1" si="2"/>
        <v/>
      </c>
      <c r="O90" s="27"/>
      <c r="P90" s="26"/>
      <c r="Q90" s="27"/>
      <c r="R90" s="27"/>
    </row>
    <row r="91" spans="1:18" x14ac:dyDescent="0.25">
      <c r="A91" s="25" t="str">
        <f>IF($C91="","",COUNTA($C$5:$C91))</f>
        <v/>
      </c>
      <c r="B91" s="26"/>
      <c r="C91" s="27"/>
      <c r="D91" s="27"/>
      <c r="E91" s="27"/>
      <c r="F91" s="28"/>
      <c r="G91" s="27"/>
      <c r="H91" s="27"/>
      <c r="I91" s="29"/>
      <c r="J91" s="28"/>
      <c r="K91" s="28"/>
      <c r="L91" s="25" t="str">
        <f>IFERROR(IF($K91="","",MATCH($K91,Lists!$A$2:$A$13,0)-1),"")</f>
        <v/>
      </c>
      <c r="M91" s="26"/>
      <c r="N91" s="25" t="str">
        <f t="shared" ca="1" si="2"/>
        <v/>
      </c>
      <c r="O91" s="27"/>
      <c r="P91" s="26"/>
      <c r="Q91" s="27"/>
      <c r="R91" s="27"/>
    </row>
    <row r="92" spans="1:18" x14ac:dyDescent="0.25">
      <c r="A92" s="25" t="str">
        <f>IF($C92="","",COUNTA($C$5:$C92))</f>
        <v/>
      </c>
      <c r="B92" s="26"/>
      <c r="C92" s="27"/>
      <c r="D92" s="27"/>
      <c r="E92" s="27"/>
      <c r="F92" s="28"/>
      <c r="G92" s="27"/>
      <c r="H92" s="27"/>
      <c r="I92" s="29"/>
      <c r="J92" s="28"/>
      <c r="K92" s="28"/>
      <c r="L92" s="25" t="str">
        <f>IFERROR(IF($K92="","",MATCH($K92,Lists!$A$2:$A$13,0)-1),"")</f>
        <v/>
      </c>
      <c r="M92" s="26"/>
      <c r="N92" s="25" t="str">
        <f t="shared" ca="1" si="2"/>
        <v/>
      </c>
      <c r="O92" s="27"/>
      <c r="P92" s="26"/>
      <c r="Q92" s="27"/>
      <c r="R92" s="27"/>
    </row>
    <row r="93" spans="1:18" x14ac:dyDescent="0.25">
      <c r="A93" s="25" t="str">
        <f>IF($C93="","",COUNTA($C$5:$C93))</f>
        <v/>
      </c>
      <c r="B93" s="26"/>
      <c r="C93" s="27"/>
      <c r="D93" s="27"/>
      <c r="E93" s="27"/>
      <c r="F93" s="28"/>
      <c r="G93" s="27"/>
      <c r="H93" s="27"/>
      <c r="I93" s="29"/>
      <c r="J93" s="28"/>
      <c r="K93" s="28"/>
      <c r="L93" s="25" t="str">
        <f>IFERROR(IF($K93="","",MATCH($K93,Lists!$A$2:$A$13,0)-1),"")</f>
        <v/>
      </c>
      <c r="M93" s="26"/>
      <c r="N93" s="25" t="str">
        <f t="shared" ca="1" si="2"/>
        <v/>
      </c>
      <c r="O93" s="27"/>
      <c r="P93" s="26"/>
      <c r="Q93" s="27"/>
      <c r="R93" s="27"/>
    </row>
    <row r="94" spans="1:18" x14ac:dyDescent="0.25">
      <c r="A94" s="25" t="str">
        <f>IF($C94="","",COUNTA($C$5:$C94))</f>
        <v/>
      </c>
      <c r="B94" s="26"/>
      <c r="C94" s="27"/>
      <c r="D94" s="27"/>
      <c r="E94" s="27"/>
      <c r="F94" s="28"/>
      <c r="G94" s="27"/>
      <c r="H94" s="27"/>
      <c r="I94" s="29"/>
      <c r="J94" s="28"/>
      <c r="K94" s="28"/>
      <c r="L94" s="25" t="str">
        <f>IFERROR(IF($K94="","",MATCH($K94,Lists!$A$2:$A$13,0)-1),"")</f>
        <v/>
      </c>
      <c r="M94" s="26"/>
      <c r="N94" s="25" t="str">
        <f t="shared" ca="1" si="2"/>
        <v/>
      </c>
      <c r="O94" s="27"/>
      <c r="P94" s="26"/>
      <c r="Q94" s="27"/>
      <c r="R94" s="27"/>
    </row>
    <row r="95" spans="1:18" x14ac:dyDescent="0.25">
      <c r="A95" s="25" t="str">
        <f>IF($C95="","",COUNTA($C$5:$C95))</f>
        <v/>
      </c>
      <c r="B95" s="26"/>
      <c r="C95" s="27"/>
      <c r="D95" s="27"/>
      <c r="E95" s="27"/>
      <c r="F95" s="28"/>
      <c r="G95" s="27"/>
      <c r="H95" s="27"/>
      <c r="I95" s="29"/>
      <c r="J95" s="28"/>
      <c r="K95" s="28"/>
      <c r="L95" s="25" t="str">
        <f>IFERROR(IF($K95="","",MATCH($K95,Lists!$A$2:$A$13,0)-1),"")</f>
        <v/>
      </c>
      <c r="M95" s="26"/>
      <c r="N95" s="25" t="str">
        <f t="shared" ca="1" si="2"/>
        <v/>
      </c>
      <c r="O95" s="27"/>
      <c r="P95" s="26"/>
      <c r="Q95" s="27"/>
      <c r="R95" s="27"/>
    </row>
    <row r="96" spans="1:18" x14ac:dyDescent="0.25">
      <c r="A96" s="25" t="str">
        <f>IF($C96="","",COUNTA($C$5:$C96))</f>
        <v/>
      </c>
      <c r="B96" s="26"/>
      <c r="C96" s="27"/>
      <c r="D96" s="27"/>
      <c r="E96" s="27"/>
      <c r="F96" s="28"/>
      <c r="G96" s="27"/>
      <c r="H96" s="27"/>
      <c r="I96" s="29"/>
      <c r="J96" s="28"/>
      <c r="K96" s="28"/>
      <c r="L96" s="25" t="str">
        <f>IFERROR(IF($K96="","",MATCH($K96,Lists!$A$2:$A$13,0)-1),"")</f>
        <v/>
      </c>
      <c r="M96" s="26"/>
      <c r="N96" s="25" t="str">
        <f t="shared" ca="1" si="2"/>
        <v/>
      </c>
      <c r="O96" s="27"/>
      <c r="P96" s="26"/>
      <c r="Q96" s="27"/>
      <c r="R96" s="27"/>
    </row>
    <row r="97" spans="1:18" x14ac:dyDescent="0.25">
      <c r="A97" s="25" t="str">
        <f>IF($C97="","",COUNTA($C$5:$C97))</f>
        <v/>
      </c>
      <c r="B97" s="26"/>
      <c r="C97" s="27"/>
      <c r="D97" s="27"/>
      <c r="E97" s="27"/>
      <c r="F97" s="28"/>
      <c r="G97" s="27"/>
      <c r="H97" s="27"/>
      <c r="I97" s="29"/>
      <c r="J97" s="28"/>
      <c r="K97" s="28"/>
      <c r="L97" s="25" t="str">
        <f>IFERROR(IF($K97="","",MATCH($K97,Lists!$A$2:$A$13,0)-1),"")</f>
        <v/>
      </c>
      <c r="M97" s="26"/>
      <c r="N97" s="25" t="str">
        <f t="shared" ca="1" si="2"/>
        <v/>
      </c>
      <c r="O97" s="27"/>
      <c r="P97" s="26"/>
      <c r="Q97" s="27"/>
      <c r="R97" s="27"/>
    </row>
    <row r="98" spans="1:18" x14ac:dyDescent="0.25">
      <c r="A98" s="25" t="str">
        <f>IF($C98="","",COUNTA($C$5:$C98))</f>
        <v/>
      </c>
      <c r="B98" s="26"/>
      <c r="C98" s="27"/>
      <c r="D98" s="27"/>
      <c r="E98" s="27"/>
      <c r="F98" s="28"/>
      <c r="G98" s="27"/>
      <c r="H98" s="27"/>
      <c r="I98" s="29"/>
      <c r="J98" s="28"/>
      <c r="K98" s="28"/>
      <c r="L98" s="25" t="str">
        <f>IFERROR(IF($K98="","",MATCH($K98,Lists!$A$2:$A$13,0)-1),"")</f>
        <v/>
      </c>
      <c r="M98" s="26"/>
      <c r="N98" s="25" t="str">
        <f t="shared" ca="1" si="2"/>
        <v/>
      </c>
      <c r="O98" s="27"/>
      <c r="P98" s="26"/>
      <c r="Q98" s="27"/>
      <c r="R98" s="27"/>
    </row>
    <row r="99" spans="1:18" x14ac:dyDescent="0.25">
      <c r="A99" s="25" t="str">
        <f>IF($C99="","",COUNTA($C$5:$C99))</f>
        <v/>
      </c>
      <c r="B99" s="26"/>
      <c r="C99" s="27"/>
      <c r="D99" s="27"/>
      <c r="E99" s="27"/>
      <c r="F99" s="28"/>
      <c r="G99" s="27"/>
      <c r="H99" s="27"/>
      <c r="I99" s="29"/>
      <c r="J99" s="28"/>
      <c r="K99" s="28"/>
      <c r="L99" s="25" t="str">
        <f>IFERROR(IF($K99="","",MATCH($K99,Lists!$A$2:$A$13,0)-1),"")</f>
        <v/>
      </c>
      <c r="M99" s="26"/>
      <c r="N99" s="25" t="str">
        <f t="shared" ca="1" si="2"/>
        <v/>
      </c>
      <c r="O99" s="27"/>
      <c r="P99" s="26"/>
      <c r="Q99" s="27"/>
      <c r="R99" s="27"/>
    </row>
    <row r="100" spans="1:18" x14ac:dyDescent="0.25">
      <c r="A100" s="25" t="str">
        <f>IF($C100="","",COUNTA($C$5:$C100))</f>
        <v/>
      </c>
      <c r="B100" s="26"/>
      <c r="C100" s="27"/>
      <c r="D100" s="27"/>
      <c r="E100" s="27"/>
      <c r="F100" s="28"/>
      <c r="G100" s="27"/>
      <c r="H100" s="27"/>
      <c r="I100" s="29"/>
      <c r="J100" s="28"/>
      <c r="K100" s="28"/>
      <c r="L100" s="25" t="str">
        <f>IFERROR(IF($K100="","",MATCH($K100,Lists!$A$2:$A$13,0)-1),"")</f>
        <v/>
      </c>
      <c r="M100" s="26"/>
      <c r="N100" s="25" t="str">
        <f t="shared" ca="1" si="2"/>
        <v/>
      </c>
      <c r="O100" s="27"/>
      <c r="P100" s="26"/>
      <c r="Q100" s="27"/>
      <c r="R100" s="27"/>
    </row>
    <row r="101" spans="1:18" x14ac:dyDescent="0.25">
      <c r="A101" s="25" t="str">
        <f>IF($C101="","",COUNTA($C$5:$C101))</f>
        <v/>
      </c>
      <c r="B101" s="26"/>
      <c r="C101" s="27"/>
      <c r="D101" s="27"/>
      <c r="E101" s="27"/>
      <c r="F101" s="28"/>
      <c r="G101" s="27"/>
      <c r="H101" s="27"/>
      <c r="I101" s="29"/>
      <c r="J101" s="28"/>
      <c r="K101" s="28"/>
      <c r="L101" s="25" t="str">
        <f>IFERROR(IF($K101="","",MATCH($K101,Lists!$A$2:$A$13,0)-1),"")</f>
        <v/>
      </c>
      <c r="M101" s="26"/>
      <c r="N101" s="25" t="str">
        <f t="shared" ref="N101:N124" ca="1" si="3">IF($B101="","",TODAY()-$B101)</f>
        <v/>
      </c>
      <c r="O101" s="27"/>
      <c r="P101" s="26"/>
      <c r="Q101" s="27"/>
      <c r="R101" s="27"/>
    </row>
    <row r="102" spans="1:18" x14ac:dyDescent="0.25">
      <c r="A102" s="25" t="str">
        <f>IF($C102="","",COUNTA($C$5:$C102))</f>
        <v/>
      </c>
      <c r="B102" s="26"/>
      <c r="C102" s="27"/>
      <c r="D102" s="27"/>
      <c r="E102" s="27"/>
      <c r="F102" s="28"/>
      <c r="G102" s="27"/>
      <c r="H102" s="27"/>
      <c r="I102" s="29"/>
      <c r="J102" s="28"/>
      <c r="K102" s="28"/>
      <c r="L102" s="25" t="str">
        <f>IFERROR(IF($K102="","",MATCH($K102,Lists!$A$2:$A$13,0)-1),"")</f>
        <v/>
      </c>
      <c r="M102" s="26"/>
      <c r="N102" s="25" t="str">
        <f t="shared" ca="1" si="3"/>
        <v/>
      </c>
      <c r="O102" s="27"/>
      <c r="P102" s="26"/>
      <c r="Q102" s="27"/>
      <c r="R102" s="27"/>
    </row>
    <row r="103" spans="1:18" x14ac:dyDescent="0.25">
      <c r="A103" s="25" t="str">
        <f>IF($C103="","",COUNTA($C$5:$C103))</f>
        <v/>
      </c>
      <c r="B103" s="26"/>
      <c r="C103" s="27"/>
      <c r="D103" s="27"/>
      <c r="E103" s="27"/>
      <c r="F103" s="28"/>
      <c r="G103" s="27"/>
      <c r="H103" s="27"/>
      <c r="I103" s="29"/>
      <c r="J103" s="28"/>
      <c r="K103" s="28"/>
      <c r="L103" s="25" t="str">
        <f>IFERROR(IF($K103="","",MATCH($K103,Lists!$A$2:$A$13,0)-1),"")</f>
        <v/>
      </c>
      <c r="M103" s="26"/>
      <c r="N103" s="25" t="str">
        <f t="shared" ca="1" si="3"/>
        <v/>
      </c>
      <c r="O103" s="27"/>
      <c r="P103" s="26"/>
      <c r="Q103" s="27"/>
      <c r="R103" s="27"/>
    </row>
    <row r="104" spans="1:18" x14ac:dyDescent="0.25">
      <c r="A104" s="25" t="str">
        <f>IF($C104="","",COUNTA($C$5:$C104))</f>
        <v/>
      </c>
      <c r="B104" s="26"/>
      <c r="C104" s="27"/>
      <c r="D104" s="27"/>
      <c r="E104" s="27"/>
      <c r="F104" s="28"/>
      <c r="G104" s="27"/>
      <c r="H104" s="27"/>
      <c r="I104" s="29"/>
      <c r="J104" s="28"/>
      <c r="K104" s="28"/>
      <c r="L104" s="25" t="str">
        <f>IFERROR(IF($K104="","",MATCH($K104,Lists!$A$2:$A$13,0)-1),"")</f>
        <v/>
      </c>
      <c r="M104" s="26"/>
      <c r="N104" s="25" t="str">
        <f t="shared" ca="1" si="3"/>
        <v/>
      </c>
      <c r="O104" s="27"/>
      <c r="P104" s="26"/>
      <c r="Q104" s="27"/>
      <c r="R104" s="27"/>
    </row>
    <row r="105" spans="1:18" x14ac:dyDescent="0.25">
      <c r="A105" s="25" t="str">
        <f>IF($C105="","",COUNTA($C$5:$C105))</f>
        <v/>
      </c>
      <c r="B105" s="26"/>
      <c r="C105" s="27"/>
      <c r="D105" s="27"/>
      <c r="E105" s="27"/>
      <c r="F105" s="28"/>
      <c r="G105" s="27"/>
      <c r="H105" s="27"/>
      <c r="I105" s="29"/>
      <c r="J105" s="28"/>
      <c r="K105" s="28"/>
      <c r="L105" s="25" t="str">
        <f>IFERROR(IF($K105="","",MATCH($K105,Lists!$A$2:$A$13,0)-1),"")</f>
        <v/>
      </c>
      <c r="M105" s="26"/>
      <c r="N105" s="25" t="str">
        <f t="shared" ca="1" si="3"/>
        <v/>
      </c>
      <c r="O105" s="27"/>
      <c r="P105" s="26"/>
      <c r="Q105" s="27"/>
      <c r="R105" s="27"/>
    </row>
    <row r="106" spans="1:18" x14ac:dyDescent="0.25">
      <c r="A106" s="25" t="str">
        <f>IF($C106="","",COUNTA($C$5:$C106))</f>
        <v/>
      </c>
      <c r="B106" s="26"/>
      <c r="C106" s="27"/>
      <c r="D106" s="27"/>
      <c r="E106" s="27"/>
      <c r="F106" s="28"/>
      <c r="G106" s="27"/>
      <c r="H106" s="27"/>
      <c r="I106" s="29"/>
      <c r="J106" s="28"/>
      <c r="K106" s="28"/>
      <c r="L106" s="25" t="str">
        <f>IFERROR(IF($K106="","",MATCH($K106,Lists!$A$2:$A$13,0)-1),"")</f>
        <v/>
      </c>
      <c r="M106" s="26"/>
      <c r="N106" s="25" t="str">
        <f t="shared" ca="1" si="3"/>
        <v/>
      </c>
      <c r="O106" s="27"/>
      <c r="P106" s="26"/>
      <c r="Q106" s="27"/>
      <c r="R106" s="27"/>
    </row>
    <row r="107" spans="1:18" x14ac:dyDescent="0.25">
      <c r="A107" s="25" t="str">
        <f>IF($C107="","",COUNTA($C$5:$C107))</f>
        <v/>
      </c>
      <c r="B107" s="26"/>
      <c r="C107" s="27"/>
      <c r="D107" s="27"/>
      <c r="E107" s="27"/>
      <c r="F107" s="28"/>
      <c r="G107" s="27"/>
      <c r="H107" s="27"/>
      <c r="I107" s="29"/>
      <c r="J107" s="28"/>
      <c r="K107" s="28"/>
      <c r="L107" s="25" t="str">
        <f>IFERROR(IF($K107="","",MATCH($K107,Lists!$A$2:$A$13,0)-1),"")</f>
        <v/>
      </c>
      <c r="M107" s="26"/>
      <c r="N107" s="25" t="str">
        <f t="shared" ca="1" si="3"/>
        <v/>
      </c>
      <c r="O107" s="27"/>
      <c r="P107" s="26"/>
      <c r="Q107" s="27"/>
      <c r="R107" s="27"/>
    </row>
    <row r="108" spans="1:18" x14ac:dyDescent="0.25">
      <c r="A108" s="25" t="str">
        <f>IF($C108="","",COUNTA($C$5:$C108))</f>
        <v/>
      </c>
      <c r="B108" s="26"/>
      <c r="C108" s="27"/>
      <c r="D108" s="27"/>
      <c r="E108" s="27"/>
      <c r="F108" s="28"/>
      <c r="G108" s="27"/>
      <c r="H108" s="27"/>
      <c r="I108" s="29"/>
      <c r="J108" s="28"/>
      <c r="K108" s="28"/>
      <c r="L108" s="25" t="str">
        <f>IFERROR(IF($K108="","",MATCH($K108,Lists!$A$2:$A$13,0)-1),"")</f>
        <v/>
      </c>
      <c r="M108" s="26"/>
      <c r="N108" s="25" t="str">
        <f t="shared" ca="1" si="3"/>
        <v/>
      </c>
      <c r="O108" s="27"/>
      <c r="P108" s="26"/>
      <c r="Q108" s="27"/>
      <c r="R108" s="27"/>
    </row>
    <row r="109" spans="1:18" x14ac:dyDescent="0.25">
      <c r="A109" s="25" t="str">
        <f>IF($C109="","",COUNTA($C$5:$C109))</f>
        <v/>
      </c>
      <c r="B109" s="26"/>
      <c r="C109" s="27"/>
      <c r="D109" s="27"/>
      <c r="E109" s="27"/>
      <c r="F109" s="28"/>
      <c r="G109" s="27"/>
      <c r="H109" s="27"/>
      <c r="I109" s="29"/>
      <c r="J109" s="28"/>
      <c r="K109" s="28"/>
      <c r="L109" s="25" t="str">
        <f>IFERROR(IF($K109="","",MATCH($K109,Lists!$A$2:$A$13,0)-1),"")</f>
        <v/>
      </c>
      <c r="M109" s="26"/>
      <c r="N109" s="25" t="str">
        <f t="shared" ca="1" si="3"/>
        <v/>
      </c>
      <c r="O109" s="27"/>
      <c r="P109" s="26"/>
      <c r="Q109" s="27"/>
      <c r="R109" s="27"/>
    </row>
    <row r="110" spans="1:18" x14ac:dyDescent="0.25">
      <c r="A110" s="25" t="str">
        <f>IF($C110="","",COUNTA($C$5:$C110))</f>
        <v/>
      </c>
      <c r="B110" s="26"/>
      <c r="C110" s="27"/>
      <c r="D110" s="27"/>
      <c r="E110" s="27"/>
      <c r="F110" s="28"/>
      <c r="G110" s="27"/>
      <c r="H110" s="27"/>
      <c r="I110" s="29"/>
      <c r="J110" s="28"/>
      <c r="K110" s="28"/>
      <c r="L110" s="25" t="str">
        <f>IFERROR(IF($K110="","",MATCH($K110,Lists!$A$2:$A$13,0)-1),"")</f>
        <v/>
      </c>
      <c r="M110" s="26"/>
      <c r="N110" s="25" t="str">
        <f t="shared" ca="1" si="3"/>
        <v/>
      </c>
      <c r="O110" s="27"/>
      <c r="P110" s="26"/>
      <c r="Q110" s="27"/>
      <c r="R110" s="27"/>
    </row>
    <row r="111" spans="1:18" x14ac:dyDescent="0.25">
      <c r="A111" s="25" t="str">
        <f>IF($C111="","",COUNTA($C$5:$C111))</f>
        <v/>
      </c>
      <c r="B111" s="26"/>
      <c r="C111" s="27"/>
      <c r="D111" s="27"/>
      <c r="E111" s="27"/>
      <c r="F111" s="28"/>
      <c r="G111" s="27"/>
      <c r="H111" s="27"/>
      <c r="I111" s="29"/>
      <c r="J111" s="28"/>
      <c r="K111" s="28"/>
      <c r="L111" s="25" t="str">
        <f>IFERROR(IF($K111="","",MATCH($K111,Lists!$A$2:$A$13,0)-1),"")</f>
        <v/>
      </c>
      <c r="M111" s="26"/>
      <c r="N111" s="25" t="str">
        <f t="shared" ca="1" si="3"/>
        <v/>
      </c>
      <c r="O111" s="27"/>
      <c r="P111" s="26"/>
      <c r="Q111" s="27"/>
      <c r="R111" s="27"/>
    </row>
    <row r="112" spans="1:18" x14ac:dyDescent="0.25">
      <c r="A112" s="25" t="str">
        <f>IF($C112="","",COUNTA($C$5:$C112))</f>
        <v/>
      </c>
      <c r="B112" s="26"/>
      <c r="C112" s="27"/>
      <c r="D112" s="27"/>
      <c r="E112" s="27"/>
      <c r="F112" s="28"/>
      <c r="G112" s="27"/>
      <c r="H112" s="27"/>
      <c r="I112" s="29"/>
      <c r="J112" s="28"/>
      <c r="K112" s="28"/>
      <c r="L112" s="25" t="str">
        <f>IFERROR(IF($K112="","",MATCH($K112,Lists!$A$2:$A$13,0)-1),"")</f>
        <v/>
      </c>
      <c r="M112" s="26"/>
      <c r="N112" s="25" t="str">
        <f t="shared" ca="1" si="3"/>
        <v/>
      </c>
      <c r="O112" s="27"/>
      <c r="P112" s="26"/>
      <c r="Q112" s="27"/>
      <c r="R112" s="27"/>
    </row>
    <row r="113" spans="1:18" x14ac:dyDescent="0.25">
      <c r="A113" s="25" t="str">
        <f>IF($C113="","",COUNTA($C$5:$C113))</f>
        <v/>
      </c>
      <c r="B113" s="26"/>
      <c r="C113" s="27"/>
      <c r="D113" s="27"/>
      <c r="E113" s="27"/>
      <c r="F113" s="28"/>
      <c r="G113" s="27"/>
      <c r="H113" s="27"/>
      <c r="I113" s="29"/>
      <c r="J113" s="28"/>
      <c r="K113" s="28"/>
      <c r="L113" s="25" t="str">
        <f>IFERROR(IF($K113="","",MATCH($K113,Lists!$A$2:$A$13,0)-1),"")</f>
        <v/>
      </c>
      <c r="M113" s="26"/>
      <c r="N113" s="25" t="str">
        <f t="shared" ca="1" si="3"/>
        <v/>
      </c>
      <c r="O113" s="27"/>
      <c r="P113" s="26"/>
      <c r="Q113" s="27"/>
      <c r="R113" s="27"/>
    </row>
    <row r="114" spans="1:18" x14ac:dyDescent="0.25">
      <c r="A114" s="25" t="str">
        <f>IF($C114="","",COUNTA($C$5:$C114))</f>
        <v/>
      </c>
      <c r="B114" s="26"/>
      <c r="C114" s="27"/>
      <c r="D114" s="27"/>
      <c r="E114" s="27"/>
      <c r="F114" s="28"/>
      <c r="G114" s="27"/>
      <c r="H114" s="27"/>
      <c r="I114" s="29"/>
      <c r="J114" s="28"/>
      <c r="K114" s="28"/>
      <c r="L114" s="25" t="str">
        <f>IFERROR(IF($K114="","",MATCH($K114,Lists!$A$2:$A$13,0)-1),"")</f>
        <v/>
      </c>
      <c r="M114" s="26"/>
      <c r="N114" s="25" t="str">
        <f t="shared" ca="1" si="3"/>
        <v/>
      </c>
      <c r="O114" s="27"/>
      <c r="P114" s="26"/>
      <c r="Q114" s="27"/>
      <c r="R114" s="27"/>
    </row>
    <row r="115" spans="1:18" x14ac:dyDescent="0.25">
      <c r="A115" s="25" t="str">
        <f>IF($C115="","",COUNTA($C$5:$C115))</f>
        <v/>
      </c>
      <c r="B115" s="26"/>
      <c r="C115" s="27"/>
      <c r="D115" s="27"/>
      <c r="E115" s="27"/>
      <c r="F115" s="28"/>
      <c r="G115" s="27"/>
      <c r="H115" s="27"/>
      <c r="I115" s="29"/>
      <c r="J115" s="28"/>
      <c r="K115" s="28"/>
      <c r="L115" s="25" t="str">
        <f>IFERROR(IF($K115="","",MATCH($K115,Lists!$A$2:$A$13,0)-1),"")</f>
        <v/>
      </c>
      <c r="M115" s="26"/>
      <c r="N115" s="25" t="str">
        <f t="shared" ca="1" si="3"/>
        <v/>
      </c>
      <c r="O115" s="27"/>
      <c r="P115" s="26"/>
      <c r="Q115" s="27"/>
      <c r="R115" s="27"/>
    </row>
    <row r="116" spans="1:18" x14ac:dyDescent="0.25">
      <c r="A116" s="25" t="str">
        <f>IF($C116="","",COUNTA($C$5:$C116))</f>
        <v/>
      </c>
      <c r="B116" s="26"/>
      <c r="C116" s="27"/>
      <c r="D116" s="27"/>
      <c r="E116" s="27"/>
      <c r="F116" s="28"/>
      <c r="G116" s="27"/>
      <c r="H116" s="27"/>
      <c r="I116" s="29"/>
      <c r="J116" s="28"/>
      <c r="K116" s="28"/>
      <c r="L116" s="25" t="str">
        <f>IFERROR(IF($K116="","",MATCH($K116,Lists!$A$2:$A$13,0)-1),"")</f>
        <v/>
      </c>
      <c r="M116" s="26"/>
      <c r="N116" s="25" t="str">
        <f t="shared" ca="1" si="3"/>
        <v/>
      </c>
      <c r="O116" s="27"/>
      <c r="P116" s="26"/>
      <c r="Q116" s="27"/>
      <c r="R116" s="27"/>
    </row>
    <row r="117" spans="1:18" x14ac:dyDescent="0.25">
      <c r="A117" s="25" t="str">
        <f>IF($C117="","",COUNTA($C$5:$C117))</f>
        <v/>
      </c>
      <c r="B117" s="26"/>
      <c r="C117" s="27"/>
      <c r="D117" s="27"/>
      <c r="E117" s="27"/>
      <c r="F117" s="28"/>
      <c r="G117" s="27"/>
      <c r="H117" s="27"/>
      <c r="I117" s="29"/>
      <c r="J117" s="28"/>
      <c r="K117" s="28"/>
      <c r="L117" s="25" t="str">
        <f>IFERROR(IF($K117="","",MATCH($K117,Lists!$A$2:$A$13,0)-1),"")</f>
        <v/>
      </c>
      <c r="M117" s="26"/>
      <c r="N117" s="25" t="str">
        <f t="shared" ca="1" si="3"/>
        <v/>
      </c>
      <c r="O117" s="27"/>
      <c r="P117" s="26"/>
      <c r="Q117" s="27"/>
      <c r="R117" s="27"/>
    </row>
    <row r="118" spans="1:18" x14ac:dyDescent="0.25">
      <c r="A118" s="25" t="str">
        <f>IF($C118="","",COUNTA($C$5:$C118))</f>
        <v/>
      </c>
      <c r="B118" s="26"/>
      <c r="C118" s="27"/>
      <c r="D118" s="27"/>
      <c r="E118" s="27"/>
      <c r="F118" s="28"/>
      <c r="G118" s="27"/>
      <c r="H118" s="27"/>
      <c r="I118" s="29"/>
      <c r="J118" s="28"/>
      <c r="K118" s="28"/>
      <c r="L118" s="25" t="str">
        <f>IFERROR(IF($K118="","",MATCH($K118,Lists!$A$2:$A$13,0)-1),"")</f>
        <v/>
      </c>
      <c r="M118" s="26"/>
      <c r="N118" s="25" t="str">
        <f t="shared" ca="1" si="3"/>
        <v/>
      </c>
      <c r="O118" s="27"/>
      <c r="P118" s="26"/>
      <c r="Q118" s="27"/>
      <c r="R118" s="27"/>
    </row>
    <row r="119" spans="1:18" x14ac:dyDescent="0.25">
      <c r="A119" s="25" t="str">
        <f>IF($C119="","",COUNTA($C$5:$C119))</f>
        <v/>
      </c>
      <c r="B119" s="26"/>
      <c r="C119" s="27"/>
      <c r="D119" s="27"/>
      <c r="E119" s="27"/>
      <c r="F119" s="28"/>
      <c r="G119" s="27"/>
      <c r="H119" s="27"/>
      <c r="I119" s="29"/>
      <c r="J119" s="28"/>
      <c r="K119" s="28"/>
      <c r="L119" s="25" t="str">
        <f>IFERROR(IF($K119="","",MATCH($K119,Lists!$A$2:$A$13,0)-1),"")</f>
        <v/>
      </c>
      <c r="M119" s="26"/>
      <c r="N119" s="25" t="str">
        <f t="shared" ca="1" si="3"/>
        <v/>
      </c>
      <c r="O119" s="27"/>
      <c r="P119" s="26"/>
      <c r="Q119" s="27"/>
      <c r="R119" s="27"/>
    </row>
    <row r="120" spans="1:18" x14ac:dyDescent="0.25">
      <c r="A120" s="25" t="str">
        <f>IF($C120="","",COUNTA($C$5:$C120))</f>
        <v/>
      </c>
      <c r="B120" s="26"/>
      <c r="C120" s="27"/>
      <c r="D120" s="27"/>
      <c r="E120" s="27"/>
      <c r="F120" s="28"/>
      <c r="G120" s="27"/>
      <c r="H120" s="27"/>
      <c r="I120" s="29"/>
      <c r="J120" s="28"/>
      <c r="K120" s="28"/>
      <c r="L120" s="25" t="str">
        <f>IFERROR(IF($K120="","",MATCH($K120,Lists!$A$2:$A$13,0)-1),"")</f>
        <v/>
      </c>
      <c r="M120" s="26"/>
      <c r="N120" s="25" t="str">
        <f t="shared" ca="1" si="3"/>
        <v/>
      </c>
      <c r="O120" s="27"/>
      <c r="P120" s="26"/>
      <c r="Q120" s="27"/>
      <c r="R120" s="27"/>
    </row>
    <row r="121" spans="1:18" x14ac:dyDescent="0.25">
      <c r="A121" s="25" t="str">
        <f>IF($C121="","",COUNTA($C$5:$C121))</f>
        <v/>
      </c>
      <c r="B121" s="26"/>
      <c r="C121" s="27"/>
      <c r="D121" s="27"/>
      <c r="E121" s="27"/>
      <c r="F121" s="28"/>
      <c r="G121" s="27"/>
      <c r="H121" s="27"/>
      <c r="I121" s="29"/>
      <c r="J121" s="28"/>
      <c r="K121" s="28"/>
      <c r="L121" s="25" t="str">
        <f>IFERROR(IF($K121="","",MATCH($K121,Lists!$A$2:$A$13,0)-1),"")</f>
        <v/>
      </c>
      <c r="M121" s="26"/>
      <c r="N121" s="25" t="str">
        <f t="shared" ca="1" si="3"/>
        <v/>
      </c>
      <c r="O121" s="27"/>
      <c r="P121" s="26"/>
      <c r="Q121" s="27"/>
      <c r="R121" s="27"/>
    </row>
    <row r="122" spans="1:18" x14ac:dyDescent="0.25">
      <c r="A122" s="25" t="str">
        <f>IF($C122="","",COUNTA($C$5:$C122))</f>
        <v/>
      </c>
      <c r="B122" s="26"/>
      <c r="C122" s="27"/>
      <c r="D122" s="27"/>
      <c r="E122" s="27"/>
      <c r="F122" s="28"/>
      <c r="G122" s="27"/>
      <c r="H122" s="27"/>
      <c r="I122" s="29"/>
      <c r="J122" s="28"/>
      <c r="K122" s="28"/>
      <c r="L122" s="25" t="str">
        <f>IFERROR(IF($K122="","",MATCH($K122,Lists!$A$2:$A$13,0)-1),"")</f>
        <v/>
      </c>
      <c r="M122" s="26"/>
      <c r="N122" s="25" t="str">
        <f t="shared" ca="1" si="3"/>
        <v/>
      </c>
      <c r="O122" s="27"/>
      <c r="P122" s="26"/>
      <c r="Q122" s="27"/>
      <c r="R122" s="27"/>
    </row>
    <row r="123" spans="1:18" x14ac:dyDescent="0.25">
      <c r="A123" s="25" t="str">
        <f>IF($C123="","",COUNTA($C$5:$C123))</f>
        <v/>
      </c>
      <c r="B123" s="26"/>
      <c r="C123" s="27"/>
      <c r="D123" s="27"/>
      <c r="E123" s="27"/>
      <c r="F123" s="28"/>
      <c r="G123" s="27"/>
      <c r="H123" s="27"/>
      <c r="I123" s="29"/>
      <c r="J123" s="28"/>
      <c r="K123" s="28"/>
      <c r="L123" s="25" t="str">
        <f>IFERROR(IF($K123="","",MATCH($K123,Lists!$A$2:$A$13,0)-1),"")</f>
        <v/>
      </c>
      <c r="M123" s="26"/>
      <c r="N123" s="25" t="str">
        <f t="shared" ca="1" si="3"/>
        <v/>
      </c>
      <c r="O123" s="27"/>
      <c r="P123" s="26"/>
      <c r="Q123" s="27"/>
      <c r="R123" s="27"/>
    </row>
    <row r="124" spans="1:18" x14ac:dyDescent="0.25">
      <c r="A124" s="25" t="str">
        <f>IF($C124="","",COUNTA($C$5:$C124))</f>
        <v/>
      </c>
      <c r="B124" s="26"/>
      <c r="C124" s="27"/>
      <c r="D124" s="27"/>
      <c r="E124" s="27"/>
      <c r="F124" s="28"/>
      <c r="G124" s="27"/>
      <c r="H124" s="27"/>
      <c r="I124" s="29"/>
      <c r="J124" s="28"/>
      <c r="K124" s="28"/>
      <c r="L124" s="25" t="str">
        <f>IFERROR(IF($K124="","",MATCH($K124,Lists!$A$2:$A$13,0)-1),"")</f>
        <v/>
      </c>
      <c r="M124" s="26"/>
      <c r="N124" s="25" t="str">
        <f t="shared" ca="1" si="3"/>
        <v/>
      </c>
      <c r="O124" s="27"/>
      <c r="P124" s="26"/>
      <c r="Q124" s="27"/>
      <c r="R124" s="27"/>
    </row>
  </sheetData>
  <conditionalFormatting sqref="K5:K124">
    <cfRule type="cellIs" dxfId="10" priority="2" operator="equal">
      <formula>"Ditolak"</formula>
    </cfRule>
    <cfRule type="cellIs" dxfId="9" priority="3" operator="equal">
      <formula>"Ghosting"</formula>
    </cfRule>
    <cfRule type="cellIs" dxfId="8" priority="4" operator="equal">
      <formula>"Offer"</formula>
    </cfRule>
    <cfRule type="cellIs" dxfId="7" priority="5" operator="equal">
      <formula>"Diterima"</formula>
    </cfRule>
  </conditionalFormatting>
  <conditionalFormatting sqref="N5:N124">
    <cfRule type="expression" dxfId="6" priority="7">
      <formula>AND($N5&lt;&gt;"",$N5&gt;14,OR($K5="Apply",$K5="Screening HR"))</formula>
    </cfRule>
  </conditionalFormatting>
  <conditionalFormatting sqref="P5:P124">
    <cfRule type="expression" dxfId="5" priority="6">
      <formula>AND($P5&lt;&gt;"",$P5&lt;TODAY(),$K5&lt;&gt;"Ditolak")</formula>
    </cfRule>
  </conditionalFormatting>
  <hyperlinks>
    <hyperlink ref="H5" r:id="rId1" xr:uid="{D34DE3D3-F843-4D3C-89D9-F116BFF0607C}"/>
    <hyperlink ref="H6" r:id="rId2" xr:uid="{F14A5F8C-ACD3-4AF2-BD4A-46D5D3868DDB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Lists!$C$2:$C$4</xm:f>
          </x14:formula1>
          <x14:formula2>
            <xm:f>0</xm:f>
          </x14:formula2>
          <xm:sqref>F5:F124</xm:sqref>
        </x14:dataValidation>
        <x14:dataValidation type="list" allowBlank="1" xr:uid="{00000000-0002-0000-0200-000001000000}">
          <x14:formula1>
            <xm:f>Lists!$B$2:$B$11</xm:f>
          </x14:formula1>
          <x14:formula2>
            <xm:f>0</xm:f>
          </x14:formula2>
          <xm:sqref>G5:G124</xm:sqref>
        </x14:dataValidation>
        <x14:dataValidation type="list" allowBlank="1" xr:uid="{00000000-0002-0000-0200-000002000000}">
          <x14:formula1>
            <xm:f>Lists!$D$2:$D$4</xm:f>
          </x14:formula1>
          <x14:formula2>
            <xm:f>0</xm:f>
          </x14:formula2>
          <xm:sqref>J5:J124</xm:sqref>
        </x14:dataValidation>
        <x14:dataValidation type="list" allowBlank="1" xr:uid="{00000000-0002-0000-0200-000003000000}">
          <x14:formula1>
            <xm:f>Lists!$A$2:$A$13</xm:f>
          </x14:formula1>
          <x14:formula2>
            <xm:f>0</xm:f>
          </x14:formula2>
          <xm:sqref>K5:K124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5" customWidth="1"/>
    <col min="2" max="2" width="13" customWidth="1"/>
    <col min="3" max="3" width="20" customWidth="1"/>
    <col min="4" max="4" width="26" customWidth="1"/>
    <col min="5" max="5" width="14" customWidth="1"/>
    <col min="6" max="6" width="18" customWidth="1"/>
    <col min="7" max="7" width="32" customWidth="1"/>
    <col min="8" max="8" width="18" customWidth="1"/>
    <col min="9" max="9" width="16" customWidth="1"/>
    <col min="10" max="10" width="12" customWidth="1"/>
    <col min="11" max="11" width="18" customWidth="1"/>
    <col min="12" max="12" width="14" customWidth="1"/>
    <col min="13" max="13" width="12" customWidth="1"/>
    <col min="14" max="14" width="14" customWidth="1"/>
    <col min="15" max="17" width="16" customWidth="1"/>
    <col min="18" max="18" width="26" customWidth="1"/>
    <col min="19" max="19" width="30" customWidth="1"/>
  </cols>
  <sheetData>
    <row r="1" spans="1:19" ht="18" x14ac:dyDescent="0.25">
      <c r="A1" s="1" t="s">
        <v>124</v>
      </c>
    </row>
    <row r="2" spans="1:19" x14ac:dyDescent="0.25">
      <c r="A2" s="4" t="s">
        <v>125</v>
      </c>
    </row>
    <row r="4" spans="1:19" ht="25.5" x14ac:dyDescent="0.25">
      <c r="A4" s="30" t="s">
        <v>109</v>
      </c>
      <c r="B4" s="30" t="s">
        <v>126</v>
      </c>
      <c r="C4" s="30" t="s">
        <v>127</v>
      </c>
      <c r="D4" s="30" t="s">
        <v>128</v>
      </c>
      <c r="E4" s="30" t="s">
        <v>68</v>
      </c>
      <c r="F4" s="30" t="s">
        <v>62</v>
      </c>
      <c r="G4" s="30" t="s">
        <v>129</v>
      </c>
      <c r="H4" s="30" t="s">
        <v>130</v>
      </c>
      <c r="I4" s="30" t="s">
        <v>116</v>
      </c>
      <c r="J4" s="30" t="s">
        <v>131</v>
      </c>
      <c r="K4" s="30" t="s">
        <v>132</v>
      </c>
      <c r="L4" s="30" t="s">
        <v>133</v>
      </c>
      <c r="M4" s="30" t="s">
        <v>134</v>
      </c>
      <c r="N4" s="30" t="s">
        <v>135</v>
      </c>
      <c r="O4" s="30" t="s">
        <v>67</v>
      </c>
      <c r="P4" s="30" t="s">
        <v>136</v>
      </c>
      <c r="Q4" s="30" t="s">
        <v>137</v>
      </c>
      <c r="R4" s="30" t="s">
        <v>120</v>
      </c>
      <c r="S4" s="30" t="s">
        <v>123</v>
      </c>
    </row>
    <row r="5" spans="1:19" x14ac:dyDescent="0.25">
      <c r="A5" s="20">
        <v>1</v>
      </c>
      <c r="B5" s="21" t="s">
        <v>138</v>
      </c>
      <c r="C5" s="22" t="s">
        <v>139</v>
      </c>
      <c r="D5" s="22" t="s">
        <v>140</v>
      </c>
      <c r="E5" s="23" t="s">
        <v>86</v>
      </c>
      <c r="F5" s="23" t="s">
        <v>72</v>
      </c>
      <c r="G5" s="22" t="s">
        <v>141</v>
      </c>
      <c r="H5" s="24">
        <v>12000000</v>
      </c>
      <c r="I5" s="23" t="s">
        <v>35</v>
      </c>
      <c r="J5" s="31">
        <v>0.5</v>
      </c>
      <c r="K5" s="32">
        <f t="shared" ref="K5:K36" si="0">IF($H5="","",$H5*IF($J5="",0,$J5))</f>
        <v>6000000</v>
      </c>
      <c r="L5" s="21" t="s">
        <v>142</v>
      </c>
      <c r="M5" s="26"/>
      <c r="N5" s="21" t="s">
        <v>143</v>
      </c>
      <c r="O5" s="23" t="s">
        <v>73</v>
      </c>
      <c r="P5" s="24">
        <v>0</v>
      </c>
      <c r="Q5" s="32">
        <f t="shared" ref="Q5:Q36" si="1">IF($H5="","",$H5-IF($P5="",0,$P5))</f>
        <v>12000000</v>
      </c>
      <c r="R5" s="22" t="s">
        <v>144</v>
      </c>
      <c r="S5" s="22" t="s">
        <v>145</v>
      </c>
    </row>
    <row r="6" spans="1:19" x14ac:dyDescent="0.25">
      <c r="A6" s="25" t="str">
        <f>IF($C6="","",COUNTA($C$5:$C6))</f>
        <v/>
      </c>
      <c r="B6" s="26"/>
      <c r="C6" s="27"/>
      <c r="D6" s="27"/>
      <c r="E6" s="28"/>
      <c r="F6" s="28"/>
      <c r="G6" s="27"/>
      <c r="H6" s="29"/>
      <c r="I6" s="28"/>
      <c r="J6" s="33"/>
      <c r="K6" s="32" t="str">
        <f t="shared" si="0"/>
        <v/>
      </c>
      <c r="L6" s="26"/>
      <c r="M6" s="26"/>
      <c r="N6" s="26"/>
      <c r="O6" s="28"/>
      <c r="P6" s="29"/>
      <c r="Q6" s="32" t="str">
        <f t="shared" si="1"/>
        <v/>
      </c>
      <c r="R6" s="27"/>
      <c r="S6" s="27"/>
    </row>
    <row r="7" spans="1:19" x14ac:dyDescent="0.25">
      <c r="A7" s="25" t="str">
        <f>IF($C7="","",COUNTA($C$5:$C7))</f>
        <v/>
      </c>
      <c r="B7" s="26"/>
      <c r="C7" s="27"/>
      <c r="D7" s="27"/>
      <c r="E7" s="28"/>
      <c r="F7" s="28"/>
      <c r="G7" s="27"/>
      <c r="H7" s="29"/>
      <c r="I7" s="28"/>
      <c r="J7" s="33"/>
      <c r="K7" s="32" t="str">
        <f t="shared" si="0"/>
        <v/>
      </c>
      <c r="L7" s="26"/>
      <c r="M7" s="26"/>
      <c r="N7" s="26"/>
      <c r="O7" s="28"/>
      <c r="P7" s="29"/>
      <c r="Q7" s="32" t="str">
        <f t="shared" si="1"/>
        <v/>
      </c>
      <c r="R7" s="27"/>
      <c r="S7" s="27"/>
    </row>
    <row r="8" spans="1:19" x14ac:dyDescent="0.25">
      <c r="A8" s="25" t="str">
        <f>IF($C8="","",COUNTA($C$5:$C8))</f>
        <v/>
      </c>
      <c r="B8" s="26"/>
      <c r="C8" s="27"/>
      <c r="D8" s="27"/>
      <c r="E8" s="28"/>
      <c r="F8" s="28"/>
      <c r="G8" s="27"/>
      <c r="H8" s="29"/>
      <c r="I8" s="28"/>
      <c r="J8" s="33"/>
      <c r="K8" s="32" t="str">
        <f t="shared" si="0"/>
        <v/>
      </c>
      <c r="L8" s="26"/>
      <c r="M8" s="26"/>
      <c r="N8" s="26"/>
      <c r="O8" s="28"/>
      <c r="P8" s="29"/>
      <c r="Q8" s="32" t="str">
        <f t="shared" si="1"/>
        <v/>
      </c>
      <c r="R8" s="27"/>
      <c r="S8" s="27"/>
    </row>
    <row r="9" spans="1:19" x14ac:dyDescent="0.25">
      <c r="A9" s="25" t="str">
        <f>IF($C9="","",COUNTA($C$5:$C9))</f>
        <v/>
      </c>
      <c r="B9" s="26"/>
      <c r="C9" s="27"/>
      <c r="D9" s="27"/>
      <c r="E9" s="28"/>
      <c r="F9" s="28"/>
      <c r="G9" s="27"/>
      <c r="H9" s="29"/>
      <c r="I9" s="28"/>
      <c r="J9" s="33"/>
      <c r="K9" s="32" t="str">
        <f t="shared" si="0"/>
        <v/>
      </c>
      <c r="L9" s="26"/>
      <c r="M9" s="26"/>
      <c r="N9" s="26"/>
      <c r="O9" s="28"/>
      <c r="P9" s="29"/>
      <c r="Q9" s="32" t="str">
        <f t="shared" si="1"/>
        <v/>
      </c>
      <c r="R9" s="27"/>
      <c r="S9" s="27"/>
    </row>
    <row r="10" spans="1:19" x14ac:dyDescent="0.25">
      <c r="A10" s="25" t="str">
        <f>IF($C10="","",COUNTA($C$5:$C10))</f>
        <v/>
      </c>
      <c r="B10" s="26"/>
      <c r="C10" s="27"/>
      <c r="D10" s="27"/>
      <c r="E10" s="28"/>
      <c r="F10" s="28"/>
      <c r="G10" s="27"/>
      <c r="H10" s="29"/>
      <c r="I10" s="28"/>
      <c r="J10" s="33"/>
      <c r="K10" s="32" t="str">
        <f t="shared" si="0"/>
        <v/>
      </c>
      <c r="L10" s="26"/>
      <c r="M10" s="26"/>
      <c r="N10" s="26"/>
      <c r="O10" s="28"/>
      <c r="P10" s="29"/>
      <c r="Q10" s="32" t="str">
        <f t="shared" si="1"/>
        <v/>
      </c>
      <c r="R10" s="27"/>
      <c r="S10" s="27"/>
    </row>
    <row r="11" spans="1:19" x14ac:dyDescent="0.25">
      <c r="A11" s="25" t="str">
        <f>IF($C11="","",COUNTA($C$5:$C11))</f>
        <v/>
      </c>
      <c r="B11" s="26"/>
      <c r="C11" s="27"/>
      <c r="D11" s="27"/>
      <c r="E11" s="28"/>
      <c r="F11" s="28"/>
      <c r="G11" s="27"/>
      <c r="H11" s="29"/>
      <c r="I11" s="28"/>
      <c r="J11" s="33"/>
      <c r="K11" s="32" t="str">
        <f t="shared" si="0"/>
        <v/>
      </c>
      <c r="L11" s="26"/>
      <c r="M11" s="26"/>
      <c r="N11" s="26"/>
      <c r="O11" s="28"/>
      <c r="P11" s="29"/>
      <c r="Q11" s="32" t="str">
        <f t="shared" si="1"/>
        <v/>
      </c>
      <c r="R11" s="27"/>
      <c r="S11" s="27"/>
    </row>
    <row r="12" spans="1:19" x14ac:dyDescent="0.25">
      <c r="A12" s="25" t="str">
        <f>IF($C12="","",COUNTA($C$5:$C12))</f>
        <v/>
      </c>
      <c r="B12" s="26"/>
      <c r="C12" s="27"/>
      <c r="D12" s="27"/>
      <c r="E12" s="28"/>
      <c r="F12" s="28"/>
      <c r="G12" s="27"/>
      <c r="H12" s="29"/>
      <c r="I12" s="28"/>
      <c r="J12" s="33"/>
      <c r="K12" s="32" t="str">
        <f t="shared" si="0"/>
        <v/>
      </c>
      <c r="L12" s="26"/>
      <c r="M12" s="26"/>
      <c r="N12" s="26"/>
      <c r="O12" s="28"/>
      <c r="P12" s="29"/>
      <c r="Q12" s="32" t="str">
        <f t="shared" si="1"/>
        <v/>
      </c>
      <c r="R12" s="27"/>
      <c r="S12" s="27"/>
    </row>
    <row r="13" spans="1:19" x14ac:dyDescent="0.25">
      <c r="A13" s="25" t="str">
        <f>IF($C13="","",COUNTA($C$5:$C13))</f>
        <v/>
      </c>
      <c r="B13" s="26"/>
      <c r="C13" s="27"/>
      <c r="D13" s="27"/>
      <c r="E13" s="28"/>
      <c r="F13" s="28"/>
      <c r="G13" s="27"/>
      <c r="H13" s="29"/>
      <c r="I13" s="28"/>
      <c r="J13" s="33"/>
      <c r="K13" s="32" t="str">
        <f t="shared" si="0"/>
        <v/>
      </c>
      <c r="L13" s="26"/>
      <c r="M13" s="26"/>
      <c r="N13" s="26"/>
      <c r="O13" s="28"/>
      <c r="P13" s="29"/>
      <c r="Q13" s="32" t="str">
        <f t="shared" si="1"/>
        <v/>
      </c>
      <c r="R13" s="27"/>
      <c r="S13" s="27"/>
    </row>
    <row r="14" spans="1:19" x14ac:dyDescent="0.25">
      <c r="A14" s="25" t="str">
        <f>IF($C14="","",COUNTA($C$5:$C14))</f>
        <v/>
      </c>
      <c r="B14" s="26"/>
      <c r="C14" s="27"/>
      <c r="D14" s="27"/>
      <c r="E14" s="28"/>
      <c r="F14" s="28"/>
      <c r="G14" s="27"/>
      <c r="H14" s="29"/>
      <c r="I14" s="28"/>
      <c r="J14" s="33"/>
      <c r="K14" s="32" t="str">
        <f t="shared" si="0"/>
        <v/>
      </c>
      <c r="L14" s="26"/>
      <c r="M14" s="26"/>
      <c r="N14" s="26"/>
      <c r="O14" s="28"/>
      <c r="P14" s="29"/>
      <c r="Q14" s="32" t="str">
        <f t="shared" si="1"/>
        <v/>
      </c>
      <c r="R14" s="27"/>
      <c r="S14" s="27"/>
    </row>
    <row r="15" spans="1:19" x14ac:dyDescent="0.25">
      <c r="A15" s="25" t="str">
        <f>IF($C15="","",COUNTA($C$5:$C15))</f>
        <v/>
      </c>
      <c r="B15" s="26"/>
      <c r="C15" s="27"/>
      <c r="D15" s="27"/>
      <c r="E15" s="28"/>
      <c r="F15" s="28"/>
      <c r="G15" s="27"/>
      <c r="H15" s="29"/>
      <c r="I15" s="28"/>
      <c r="J15" s="33"/>
      <c r="K15" s="32" t="str">
        <f t="shared" si="0"/>
        <v/>
      </c>
      <c r="L15" s="26"/>
      <c r="M15" s="26"/>
      <c r="N15" s="26"/>
      <c r="O15" s="28"/>
      <c r="P15" s="29"/>
      <c r="Q15" s="32" t="str">
        <f t="shared" si="1"/>
        <v/>
      </c>
      <c r="R15" s="27"/>
      <c r="S15" s="27"/>
    </row>
    <row r="16" spans="1:19" x14ac:dyDescent="0.25">
      <c r="A16" s="25" t="str">
        <f>IF($C16="","",COUNTA($C$5:$C16))</f>
        <v/>
      </c>
      <c r="B16" s="26"/>
      <c r="C16" s="27"/>
      <c r="D16" s="27"/>
      <c r="E16" s="28"/>
      <c r="F16" s="28"/>
      <c r="G16" s="27"/>
      <c r="H16" s="29"/>
      <c r="I16" s="28"/>
      <c r="J16" s="33"/>
      <c r="K16" s="32" t="str">
        <f t="shared" si="0"/>
        <v/>
      </c>
      <c r="L16" s="26"/>
      <c r="M16" s="26"/>
      <c r="N16" s="26"/>
      <c r="O16" s="28"/>
      <c r="P16" s="29"/>
      <c r="Q16" s="32" t="str">
        <f t="shared" si="1"/>
        <v/>
      </c>
      <c r="R16" s="27"/>
      <c r="S16" s="27"/>
    </row>
    <row r="17" spans="1:19" x14ac:dyDescent="0.25">
      <c r="A17" s="25" t="str">
        <f>IF($C17="","",COUNTA($C$5:$C17))</f>
        <v/>
      </c>
      <c r="B17" s="26"/>
      <c r="C17" s="27"/>
      <c r="D17" s="27"/>
      <c r="E17" s="28"/>
      <c r="F17" s="28"/>
      <c r="G17" s="27"/>
      <c r="H17" s="29"/>
      <c r="I17" s="28"/>
      <c r="J17" s="33"/>
      <c r="K17" s="32" t="str">
        <f t="shared" si="0"/>
        <v/>
      </c>
      <c r="L17" s="26"/>
      <c r="M17" s="26"/>
      <c r="N17" s="26"/>
      <c r="O17" s="28"/>
      <c r="P17" s="29"/>
      <c r="Q17" s="32" t="str">
        <f t="shared" si="1"/>
        <v/>
      </c>
      <c r="R17" s="27"/>
      <c r="S17" s="27"/>
    </row>
    <row r="18" spans="1:19" x14ac:dyDescent="0.25">
      <c r="A18" s="25" t="str">
        <f>IF($C18="","",COUNTA($C$5:$C18))</f>
        <v/>
      </c>
      <c r="B18" s="26"/>
      <c r="C18" s="27"/>
      <c r="D18" s="27"/>
      <c r="E18" s="28"/>
      <c r="F18" s="28"/>
      <c r="G18" s="27"/>
      <c r="H18" s="29"/>
      <c r="I18" s="28"/>
      <c r="J18" s="33"/>
      <c r="K18" s="32" t="str">
        <f t="shared" si="0"/>
        <v/>
      </c>
      <c r="L18" s="26"/>
      <c r="M18" s="26"/>
      <c r="N18" s="26"/>
      <c r="O18" s="28"/>
      <c r="P18" s="29"/>
      <c r="Q18" s="32" t="str">
        <f t="shared" si="1"/>
        <v/>
      </c>
      <c r="R18" s="27"/>
      <c r="S18" s="27"/>
    </row>
    <row r="19" spans="1:19" x14ac:dyDescent="0.25">
      <c r="A19" s="25" t="str">
        <f>IF($C19="","",COUNTA($C$5:$C19))</f>
        <v/>
      </c>
      <c r="B19" s="26"/>
      <c r="C19" s="27"/>
      <c r="D19" s="27"/>
      <c r="E19" s="28"/>
      <c r="F19" s="28"/>
      <c r="G19" s="27"/>
      <c r="H19" s="29"/>
      <c r="I19" s="28"/>
      <c r="J19" s="33"/>
      <c r="K19" s="32" t="str">
        <f t="shared" si="0"/>
        <v/>
      </c>
      <c r="L19" s="26"/>
      <c r="M19" s="26"/>
      <c r="N19" s="26"/>
      <c r="O19" s="28"/>
      <c r="P19" s="29"/>
      <c r="Q19" s="32" t="str">
        <f t="shared" si="1"/>
        <v/>
      </c>
      <c r="R19" s="27"/>
      <c r="S19" s="27"/>
    </row>
    <row r="20" spans="1:19" x14ac:dyDescent="0.25">
      <c r="A20" s="25" t="str">
        <f>IF($C20="","",COUNTA($C$5:$C20))</f>
        <v/>
      </c>
      <c r="B20" s="26"/>
      <c r="C20" s="27"/>
      <c r="D20" s="27"/>
      <c r="E20" s="28"/>
      <c r="F20" s="28"/>
      <c r="G20" s="27"/>
      <c r="H20" s="29"/>
      <c r="I20" s="28"/>
      <c r="J20" s="33"/>
      <c r="K20" s="32" t="str">
        <f t="shared" si="0"/>
        <v/>
      </c>
      <c r="L20" s="26"/>
      <c r="M20" s="26"/>
      <c r="N20" s="26"/>
      <c r="O20" s="28"/>
      <c r="P20" s="29"/>
      <c r="Q20" s="32" t="str">
        <f t="shared" si="1"/>
        <v/>
      </c>
      <c r="R20" s="27"/>
      <c r="S20" s="27"/>
    </row>
    <row r="21" spans="1:19" x14ac:dyDescent="0.25">
      <c r="A21" s="25" t="str">
        <f>IF($C21="","",COUNTA($C$5:$C21))</f>
        <v/>
      </c>
      <c r="B21" s="26"/>
      <c r="C21" s="27"/>
      <c r="D21" s="27"/>
      <c r="E21" s="28"/>
      <c r="F21" s="28"/>
      <c r="G21" s="27"/>
      <c r="H21" s="29"/>
      <c r="I21" s="28"/>
      <c r="J21" s="33"/>
      <c r="K21" s="32" t="str">
        <f t="shared" si="0"/>
        <v/>
      </c>
      <c r="L21" s="26"/>
      <c r="M21" s="26"/>
      <c r="N21" s="26"/>
      <c r="O21" s="28"/>
      <c r="P21" s="29"/>
      <c r="Q21" s="32" t="str">
        <f t="shared" si="1"/>
        <v/>
      </c>
      <c r="R21" s="27"/>
      <c r="S21" s="27"/>
    </row>
    <row r="22" spans="1:19" x14ac:dyDescent="0.25">
      <c r="A22" s="25" t="str">
        <f>IF($C22="","",COUNTA($C$5:$C22))</f>
        <v/>
      </c>
      <c r="B22" s="26"/>
      <c r="C22" s="27"/>
      <c r="D22" s="27"/>
      <c r="E22" s="28"/>
      <c r="F22" s="28"/>
      <c r="G22" s="27"/>
      <c r="H22" s="29"/>
      <c r="I22" s="28"/>
      <c r="J22" s="33"/>
      <c r="K22" s="32" t="str">
        <f t="shared" si="0"/>
        <v/>
      </c>
      <c r="L22" s="26"/>
      <c r="M22" s="26"/>
      <c r="N22" s="26"/>
      <c r="O22" s="28"/>
      <c r="P22" s="29"/>
      <c r="Q22" s="32" t="str">
        <f t="shared" si="1"/>
        <v/>
      </c>
      <c r="R22" s="27"/>
      <c r="S22" s="27"/>
    </row>
    <row r="23" spans="1:19" x14ac:dyDescent="0.25">
      <c r="A23" s="25" t="str">
        <f>IF($C23="","",COUNTA($C$5:$C23))</f>
        <v/>
      </c>
      <c r="B23" s="26"/>
      <c r="C23" s="27"/>
      <c r="D23" s="27"/>
      <c r="E23" s="28"/>
      <c r="F23" s="28"/>
      <c r="G23" s="27"/>
      <c r="H23" s="29"/>
      <c r="I23" s="28"/>
      <c r="J23" s="33"/>
      <c r="K23" s="32" t="str">
        <f t="shared" si="0"/>
        <v/>
      </c>
      <c r="L23" s="26"/>
      <c r="M23" s="26"/>
      <c r="N23" s="26"/>
      <c r="O23" s="28"/>
      <c r="P23" s="29"/>
      <c r="Q23" s="32" t="str">
        <f t="shared" si="1"/>
        <v/>
      </c>
      <c r="R23" s="27"/>
      <c r="S23" s="27"/>
    </row>
    <row r="24" spans="1:19" x14ac:dyDescent="0.25">
      <c r="A24" s="25" t="str">
        <f>IF($C24="","",COUNTA($C$5:$C24))</f>
        <v/>
      </c>
      <c r="B24" s="26"/>
      <c r="C24" s="27"/>
      <c r="D24" s="27"/>
      <c r="E24" s="28"/>
      <c r="F24" s="28"/>
      <c r="G24" s="27"/>
      <c r="H24" s="29"/>
      <c r="I24" s="28"/>
      <c r="J24" s="33"/>
      <c r="K24" s="32" t="str">
        <f t="shared" si="0"/>
        <v/>
      </c>
      <c r="L24" s="26"/>
      <c r="M24" s="26"/>
      <c r="N24" s="26"/>
      <c r="O24" s="28"/>
      <c r="P24" s="29"/>
      <c r="Q24" s="32" t="str">
        <f t="shared" si="1"/>
        <v/>
      </c>
      <c r="R24" s="27"/>
      <c r="S24" s="27"/>
    </row>
    <row r="25" spans="1:19" x14ac:dyDescent="0.25">
      <c r="A25" s="25" t="str">
        <f>IF($C25="","",COUNTA($C$5:$C25))</f>
        <v/>
      </c>
      <c r="B25" s="26"/>
      <c r="C25" s="27"/>
      <c r="D25" s="27"/>
      <c r="E25" s="28"/>
      <c r="F25" s="28"/>
      <c r="G25" s="27"/>
      <c r="H25" s="29"/>
      <c r="I25" s="28"/>
      <c r="J25" s="33"/>
      <c r="K25" s="32" t="str">
        <f t="shared" si="0"/>
        <v/>
      </c>
      <c r="L25" s="26"/>
      <c r="M25" s="26"/>
      <c r="N25" s="26"/>
      <c r="O25" s="28"/>
      <c r="P25" s="29"/>
      <c r="Q25" s="32" t="str">
        <f t="shared" si="1"/>
        <v/>
      </c>
      <c r="R25" s="27"/>
      <c r="S25" s="27"/>
    </row>
    <row r="26" spans="1:19" x14ac:dyDescent="0.25">
      <c r="A26" s="25" t="str">
        <f>IF($C26="","",COUNTA($C$5:$C26))</f>
        <v/>
      </c>
      <c r="B26" s="26"/>
      <c r="C26" s="27"/>
      <c r="D26" s="27"/>
      <c r="E26" s="28"/>
      <c r="F26" s="28"/>
      <c r="G26" s="27"/>
      <c r="H26" s="29"/>
      <c r="I26" s="28"/>
      <c r="J26" s="33"/>
      <c r="K26" s="32" t="str">
        <f t="shared" si="0"/>
        <v/>
      </c>
      <c r="L26" s="26"/>
      <c r="M26" s="26"/>
      <c r="N26" s="26"/>
      <c r="O26" s="28"/>
      <c r="P26" s="29"/>
      <c r="Q26" s="32" t="str">
        <f t="shared" si="1"/>
        <v/>
      </c>
      <c r="R26" s="27"/>
      <c r="S26" s="27"/>
    </row>
    <row r="27" spans="1:19" x14ac:dyDescent="0.25">
      <c r="A27" s="25" t="str">
        <f>IF($C27="","",COUNTA($C$5:$C27))</f>
        <v/>
      </c>
      <c r="B27" s="26"/>
      <c r="C27" s="27"/>
      <c r="D27" s="27"/>
      <c r="E27" s="28"/>
      <c r="F27" s="28"/>
      <c r="G27" s="27"/>
      <c r="H27" s="29"/>
      <c r="I27" s="28"/>
      <c r="J27" s="33"/>
      <c r="K27" s="32" t="str">
        <f t="shared" si="0"/>
        <v/>
      </c>
      <c r="L27" s="26"/>
      <c r="M27" s="26"/>
      <c r="N27" s="26"/>
      <c r="O27" s="28"/>
      <c r="P27" s="29"/>
      <c r="Q27" s="32" t="str">
        <f t="shared" si="1"/>
        <v/>
      </c>
      <c r="R27" s="27"/>
      <c r="S27" s="27"/>
    </row>
    <row r="28" spans="1:19" x14ac:dyDescent="0.25">
      <c r="A28" s="25" t="str">
        <f>IF($C28="","",COUNTA($C$5:$C28))</f>
        <v/>
      </c>
      <c r="B28" s="26"/>
      <c r="C28" s="27"/>
      <c r="D28" s="27"/>
      <c r="E28" s="28"/>
      <c r="F28" s="28"/>
      <c r="G28" s="27"/>
      <c r="H28" s="29"/>
      <c r="I28" s="28"/>
      <c r="J28" s="33"/>
      <c r="K28" s="32" t="str">
        <f t="shared" si="0"/>
        <v/>
      </c>
      <c r="L28" s="26"/>
      <c r="M28" s="26"/>
      <c r="N28" s="26"/>
      <c r="O28" s="28"/>
      <c r="P28" s="29"/>
      <c r="Q28" s="32" t="str">
        <f t="shared" si="1"/>
        <v/>
      </c>
      <c r="R28" s="27"/>
      <c r="S28" s="27"/>
    </row>
    <row r="29" spans="1:19" x14ac:dyDescent="0.25">
      <c r="A29" s="25" t="str">
        <f>IF($C29="","",COUNTA($C$5:$C29))</f>
        <v/>
      </c>
      <c r="B29" s="26"/>
      <c r="C29" s="27"/>
      <c r="D29" s="27"/>
      <c r="E29" s="28"/>
      <c r="F29" s="28"/>
      <c r="G29" s="27"/>
      <c r="H29" s="29"/>
      <c r="I29" s="28"/>
      <c r="J29" s="33"/>
      <c r="K29" s="32" t="str">
        <f t="shared" si="0"/>
        <v/>
      </c>
      <c r="L29" s="26"/>
      <c r="M29" s="26"/>
      <c r="N29" s="26"/>
      <c r="O29" s="28"/>
      <c r="P29" s="29"/>
      <c r="Q29" s="32" t="str">
        <f t="shared" si="1"/>
        <v/>
      </c>
      <c r="R29" s="27"/>
      <c r="S29" s="27"/>
    </row>
    <row r="30" spans="1:19" x14ac:dyDescent="0.25">
      <c r="A30" s="25" t="str">
        <f>IF($C30="","",COUNTA($C$5:$C30))</f>
        <v/>
      </c>
      <c r="B30" s="26"/>
      <c r="C30" s="27"/>
      <c r="D30" s="27"/>
      <c r="E30" s="28"/>
      <c r="F30" s="28"/>
      <c r="G30" s="27"/>
      <c r="H30" s="29"/>
      <c r="I30" s="28"/>
      <c r="J30" s="33"/>
      <c r="K30" s="32" t="str">
        <f t="shared" si="0"/>
        <v/>
      </c>
      <c r="L30" s="26"/>
      <c r="M30" s="26"/>
      <c r="N30" s="26"/>
      <c r="O30" s="28"/>
      <c r="P30" s="29"/>
      <c r="Q30" s="32" t="str">
        <f t="shared" si="1"/>
        <v/>
      </c>
      <c r="R30" s="27"/>
      <c r="S30" s="27"/>
    </row>
    <row r="31" spans="1:19" x14ac:dyDescent="0.25">
      <c r="A31" s="25" t="str">
        <f>IF($C31="","",COUNTA($C$5:$C31))</f>
        <v/>
      </c>
      <c r="B31" s="26"/>
      <c r="C31" s="27"/>
      <c r="D31" s="27"/>
      <c r="E31" s="28"/>
      <c r="F31" s="28"/>
      <c r="G31" s="27"/>
      <c r="H31" s="29"/>
      <c r="I31" s="28"/>
      <c r="J31" s="33"/>
      <c r="K31" s="32" t="str">
        <f t="shared" si="0"/>
        <v/>
      </c>
      <c r="L31" s="26"/>
      <c r="M31" s="26"/>
      <c r="N31" s="26"/>
      <c r="O31" s="28"/>
      <c r="P31" s="29"/>
      <c r="Q31" s="32" t="str">
        <f t="shared" si="1"/>
        <v/>
      </c>
      <c r="R31" s="27"/>
      <c r="S31" s="27"/>
    </row>
    <row r="32" spans="1:19" x14ac:dyDescent="0.25">
      <c r="A32" s="25" t="str">
        <f>IF($C32="","",COUNTA($C$5:$C32))</f>
        <v/>
      </c>
      <c r="B32" s="26"/>
      <c r="C32" s="27"/>
      <c r="D32" s="27"/>
      <c r="E32" s="28"/>
      <c r="F32" s="28"/>
      <c r="G32" s="27"/>
      <c r="H32" s="29"/>
      <c r="I32" s="28"/>
      <c r="J32" s="33"/>
      <c r="K32" s="32" t="str">
        <f t="shared" si="0"/>
        <v/>
      </c>
      <c r="L32" s="26"/>
      <c r="M32" s="26"/>
      <c r="N32" s="26"/>
      <c r="O32" s="28"/>
      <c r="P32" s="29"/>
      <c r="Q32" s="32" t="str">
        <f t="shared" si="1"/>
        <v/>
      </c>
      <c r="R32" s="27"/>
      <c r="S32" s="27"/>
    </row>
    <row r="33" spans="1:19" x14ac:dyDescent="0.25">
      <c r="A33" s="25" t="str">
        <f>IF($C33="","",COUNTA($C$5:$C33))</f>
        <v/>
      </c>
      <c r="B33" s="26"/>
      <c r="C33" s="27"/>
      <c r="D33" s="27"/>
      <c r="E33" s="28"/>
      <c r="F33" s="28"/>
      <c r="G33" s="27"/>
      <c r="H33" s="29"/>
      <c r="I33" s="28"/>
      <c r="J33" s="33"/>
      <c r="K33" s="32" t="str">
        <f t="shared" si="0"/>
        <v/>
      </c>
      <c r="L33" s="26"/>
      <c r="M33" s="26"/>
      <c r="N33" s="26"/>
      <c r="O33" s="28"/>
      <c r="P33" s="29"/>
      <c r="Q33" s="32" t="str">
        <f t="shared" si="1"/>
        <v/>
      </c>
      <c r="R33" s="27"/>
      <c r="S33" s="27"/>
    </row>
    <row r="34" spans="1:19" x14ac:dyDescent="0.25">
      <c r="A34" s="25" t="str">
        <f>IF($C34="","",COUNTA($C$5:$C34))</f>
        <v/>
      </c>
      <c r="B34" s="26"/>
      <c r="C34" s="27"/>
      <c r="D34" s="27"/>
      <c r="E34" s="28"/>
      <c r="F34" s="28"/>
      <c r="G34" s="27"/>
      <c r="H34" s="29"/>
      <c r="I34" s="28"/>
      <c r="J34" s="33"/>
      <c r="K34" s="32" t="str">
        <f t="shared" si="0"/>
        <v/>
      </c>
      <c r="L34" s="26"/>
      <c r="M34" s="26"/>
      <c r="N34" s="26"/>
      <c r="O34" s="28"/>
      <c r="P34" s="29"/>
      <c r="Q34" s="32" t="str">
        <f t="shared" si="1"/>
        <v/>
      </c>
      <c r="R34" s="27"/>
      <c r="S34" s="27"/>
    </row>
    <row r="35" spans="1:19" x14ac:dyDescent="0.25">
      <c r="A35" s="25" t="str">
        <f>IF($C35="","",COUNTA($C$5:$C35))</f>
        <v/>
      </c>
      <c r="B35" s="26"/>
      <c r="C35" s="27"/>
      <c r="D35" s="27"/>
      <c r="E35" s="28"/>
      <c r="F35" s="28"/>
      <c r="G35" s="27"/>
      <c r="H35" s="29"/>
      <c r="I35" s="28"/>
      <c r="J35" s="33"/>
      <c r="K35" s="32" t="str">
        <f t="shared" si="0"/>
        <v/>
      </c>
      <c r="L35" s="26"/>
      <c r="M35" s="26"/>
      <c r="N35" s="26"/>
      <c r="O35" s="28"/>
      <c r="P35" s="29"/>
      <c r="Q35" s="32" t="str">
        <f t="shared" si="1"/>
        <v/>
      </c>
      <c r="R35" s="27"/>
      <c r="S35" s="27"/>
    </row>
    <row r="36" spans="1:19" x14ac:dyDescent="0.25">
      <c r="A36" s="25" t="str">
        <f>IF($C36="","",COUNTA($C$5:$C36))</f>
        <v/>
      </c>
      <c r="B36" s="26"/>
      <c r="C36" s="27"/>
      <c r="D36" s="27"/>
      <c r="E36" s="28"/>
      <c r="F36" s="28"/>
      <c r="G36" s="27"/>
      <c r="H36" s="29"/>
      <c r="I36" s="28"/>
      <c r="J36" s="33"/>
      <c r="K36" s="32" t="str">
        <f t="shared" si="0"/>
        <v/>
      </c>
      <c r="L36" s="26"/>
      <c r="M36" s="26"/>
      <c r="N36" s="26"/>
      <c r="O36" s="28"/>
      <c r="P36" s="29"/>
      <c r="Q36" s="32" t="str">
        <f t="shared" si="1"/>
        <v/>
      </c>
      <c r="R36" s="27"/>
      <c r="S36" s="27"/>
    </row>
    <row r="37" spans="1:19" x14ac:dyDescent="0.25">
      <c r="A37" s="25" t="str">
        <f>IF($C37="","",COUNTA($C$5:$C37))</f>
        <v/>
      </c>
      <c r="B37" s="26"/>
      <c r="C37" s="27"/>
      <c r="D37" s="27"/>
      <c r="E37" s="28"/>
      <c r="F37" s="28"/>
      <c r="G37" s="27"/>
      <c r="H37" s="29"/>
      <c r="I37" s="28"/>
      <c r="J37" s="33"/>
      <c r="K37" s="32" t="str">
        <f t="shared" ref="K37:K68" si="2">IF($H37="","",$H37*IF($J37="",0,$J37))</f>
        <v/>
      </c>
      <c r="L37" s="26"/>
      <c r="M37" s="26"/>
      <c r="N37" s="26"/>
      <c r="O37" s="28"/>
      <c r="P37" s="29"/>
      <c r="Q37" s="32" t="str">
        <f t="shared" ref="Q37:Q68" si="3">IF($H37="","",$H37-IF($P37="",0,$P37))</f>
        <v/>
      </c>
      <c r="R37" s="27"/>
      <c r="S37" s="27"/>
    </row>
    <row r="38" spans="1:19" x14ac:dyDescent="0.25">
      <c r="A38" s="25" t="str">
        <f>IF($C38="","",COUNTA($C$5:$C38))</f>
        <v/>
      </c>
      <c r="B38" s="26"/>
      <c r="C38" s="27"/>
      <c r="D38" s="27"/>
      <c r="E38" s="28"/>
      <c r="F38" s="28"/>
      <c r="G38" s="27"/>
      <c r="H38" s="29"/>
      <c r="I38" s="28"/>
      <c r="J38" s="33"/>
      <c r="K38" s="32" t="str">
        <f t="shared" si="2"/>
        <v/>
      </c>
      <c r="L38" s="26"/>
      <c r="M38" s="26"/>
      <c r="N38" s="26"/>
      <c r="O38" s="28"/>
      <c r="P38" s="29"/>
      <c r="Q38" s="32" t="str">
        <f t="shared" si="3"/>
        <v/>
      </c>
      <c r="R38" s="27"/>
      <c r="S38" s="27"/>
    </row>
    <row r="39" spans="1:19" x14ac:dyDescent="0.25">
      <c r="A39" s="25" t="str">
        <f>IF($C39="","",COUNTA($C$5:$C39))</f>
        <v/>
      </c>
      <c r="B39" s="26"/>
      <c r="C39" s="27"/>
      <c r="D39" s="27"/>
      <c r="E39" s="28"/>
      <c r="F39" s="28"/>
      <c r="G39" s="27"/>
      <c r="H39" s="29"/>
      <c r="I39" s="28"/>
      <c r="J39" s="33"/>
      <c r="K39" s="32" t="str">
        <f t="shared" si="2"/>
        <v/>
      </c>
      <c r="L39" s="26"/>
      <c r="M39" s="26"/>
      <c r="N39" s="26"/>
      <c r="O39" s="28"/>
      <c r="P39" s="29"/>
      <c r="Q39" s="32" t="str">
        <f t="shared" si="3"/>
        <v/>
      </c>
      <c r="R39" s="27"/>
      <c r="S39" s="27"/>
    </row>
    <row r="40" spans="1:19" x14ac:dyDescent="0.25">
      <c r="A40" s="25" t="str">
        <f>IF($C40="","",COUNTA($C$5:$C40))</f>
        <v/>
      </c>
      <c r="B40" s="26"/>
      <c r="C40" s="27"/>
      <c r="D40" s="27"/>
      <c r="E40" s="28"/>
      <c r="F40" s="28"/>
      <c r="G40" s="27"/>
      <c r="H40" s="29"/>
      <c r="I40" s="28"/>
      <c r="J40" s="33"/>
      <c r="K40" s="32" t="str">
        <f t="shared" si="2"/>
        <v/>
      </c>
      <c r="L40" s="26"/>
      <c r="M40" s="26"/>
      <c r="N40" s="26"/>
      <c r="O40" s="28"/>
      <c r="P40" s="29"/>
      <c r="Q40" s="32" t="str">
        <f t="shared" si="3"/>
        <v/>
      </c>
      <c r="R40" s="27"/>
      <c r="S40" s="27"/>
    </row>
    <row r="41" spans="1:19" x14ac:dyDescent="0.25">
      <c r="A41" s="25" t="str">
        <f>IF($C41="","",COUNTA($C$5:$C41))</f>
        <v/>
      </c>
      <c r="B41" s="26"/>
      <c r="C41" s="27"/>
      <c r="D41" s="27"/>
      <c r="E41" s="28"/>
      <c r="F41" s="28"/>
      <c r="G41" s="27"/>
      <c r="H41" s="29"/>
      <c r="I41" s="28"/>
      <c r="J41" s="33"/>
      <c r="K41" s="32" t="str">
        <f t="shared" si="2"/>
        <v/>
      </c>
      <c r="L41" s="26"/>
      <c r="M41" s="26"/>
      <c r="N41" s="26"/>
      <c r="O41" s="28"/>
      <c r="P41" s="29"/>
      <c r="Q41" s="32" t="str">
        <f t="shared" si="3"/>
        <v/>
      </c>
      <c r="R41" s="27"/>
      <c r="S41" s="27"/>
    </row>
    <row r="42" spans="1:19" x14ac:dyDescent="0.25">
      <c r="A42" s="25" t="str">
        <f>IF($C42="","",COUNTA($C$5:$C42))</f>
        <v/>
      </c>
      <c r="B42" s="26"/>
      <c r="C42" s="27"/>
      <c r="D42" s="27"/>
      <c r="E42" s="28"/>
      <c r="F42" s="28"/>
      <c r="G42" s="27"/>
      <c r="H42" s="29"/>
      <c r="I42" s="28"/>
      <c r="J42" s="33"/>
      <c r="K42" s="32" t="str">
        <f t="shared" si="2"/>
        <v/>
      </c>
      <c r="L42" s="26"/>
      <c r="M42" s="26"/>
      <c r="N42" s="26"/>
      <c r="O42" s="28"/>
      <c r="P42" s="29"/>
      <c r="Q42" s="32" t="str">
        <f t="shared" si="3"/>
        <v/>
      </c>
      <c r="R42" s="27"/>
      <c r="S42" s="27"/>
    </row>
    <row r="43" spans="1:19" x14ac:dyDescent="0.25">
      <c r="A43" s="25" t="str">
        <f>IF($C43="","",COUNTA($C$5:$C43))</f>
        <v/>
      </c>
      <c r="B43" s="26"/>
      <c r="C43" s="27"/>
      <c r="D43" s="27"/>
      <c r="E43" s="28"/>
      <c r="F43" s="28"/>
      <c r="G43" s="27"/>
      <c r="H43" s="29"/>
      <c r="I43" s="28"/>
      <c r="J43" s="33"/>
      <c r="K43" s="32" t="str">
        <f t="shared" si="2"/>
        <v/>
      </c>
      <c r="L43" s="26"/>
      <c r="M43" s="26"/>
      <c r="N43" s="26"/>
      <c r="O43" s="28"/>
      <c r="P43" s="29"/>
      <c r="Q43" s="32" t="str">
        <f t="shared" si="3"/>
        <v/>
      </c>
      <c r="R43" s="27"/>
      <c r="S43" s="27"/>
    </row>
    <row r="44" spans="1:19" x14ac:dyDescent="0.25">
      <c r="A44" s="25" t="str">
        <f>IF($C44="","",COUNTA($C$5:$C44))</f>
        <v/>
      </c>
      <c r="B44" s="26"/>
      <c r="C44" s="27"/>
      <c r="D44" s="27"/>
      <c r="E44" s="28"/>
      <c r="F44" s="28"/>
      <c r="G44" s="27"/>
      <c r="H44" s="29"/>
      <c r="I44" s="28"/>
      <c r="J44" s="33"/>
      <c r="K44" s="32" t="str">
        <f t="shared" si="2"/>
        <v/>
      </c>
      <c r="L44" s="26"/>
      <c r="M44" s="26"/>
      <c r="N44" s="26"/>
      <c r="O44" s="28"/>
      <c r="P44" s="29"/>
      <c r="Q44" s="32" t="str">
        <f t="shared" si="3"/>
        <v/>
      </c>
      <c r="R44" s="27"/>
      <c r="S44" s="27"/>
    </row>
    <row r="45" spans="1:19" x14ac:dyDescent="0.25">
      <c r="A45" s="25" t="str">
        <f>IF($C45="","",COUNTA($C$5:$C45))</f>
        <v/>
      </c>
      <c r="B45" s="26"/>
      <c r="C45" s="27"/>
      <c r="D45" s="27"/>
      <c r="E45" s="28"/>
      <c r="F45" s="28"/>
      <c r="G45" s="27"/>
      <c r="H45" s="29"/>
      <c r="I45" s="28"/>
      <c r="J45" s="33"/>
      <c r="K45" s="32" t="str">
        <f t="shared" si="2"/>
        <v/>
      </c>
      <c r="L45" s="26"/>
      <c r="M45" s="26"/>
      <c r="N45" s="26"/>
      <c r="O45" s="28"/>
      <c r="P45" s="29"/>
      <c r="Q45" s="32" t="str">
        <f t="shared" si="3"/>
        <v/>
      </c>
      <c r="R45" s="27"/>
      <c r="S45" s="27"/>
    </row>
    <row r="46" spans="1:19" x14ac:dyDescent="0.25">
      <c r="A46" s="25" t="str">
        <f>IF($C46="","",COUNTA($C$5:$C46))</f>
        <v/>
      </c>
      <c r="B46" s="26"/>
      <c r="C46" s="27"/>
      <c r="D46" s="27"/>
      <c r="E46" s="28"/>
      <c r="F46" s="28"/>
      <c r="G46" s="27"/>
      <c r="H46" s="29"/>
      <c r="I46" s="28"/>
      <c r="J46" s="33"/>
      <c r="K46" s="32" t="str">
        <f t="shared" si="2"/>
        <v/>
      </c>
      <c r="L46" s="26"/>
      <c r="M46" s="26"/>
      <c r="N46" s="26"/>
      <c r="O46" s="28"/>
      <c r="P46" s="29"/>
      <c r="Q46" s="32" t="str">
        <f t="shared" si="3"/>
        <v/>
      </c>
      <c r="R46" s="27"/>
      <c r="S46" s="27"/>
    </row>
    <row r="47" spans="1:19" x14ac:dyDescent="0.25">
      <c r="A47" s="25" t="str">
        <f>IF($C47="","",COUNTA($C$5:$C47))</f>
        <v/>
      </c>
      <c r="B47" s="26"/>
      <c r="C47" s="27"/>
      <c r="D47" s="27"/>
      <c r="E47" s="28"/>
      <c r="F47" s="28"/>
      <c r="G47" s="27"/>
      <c r="H47" s="29"/>
      <c r="I47" s="28"/>
      <c r="J47" s="33"/>
      <c r="K47" s="32" t="str">
        <f t="shared" si="2"/>
        <v/>
      </c>
      <c r="L47" s="26"/>
      <c r="M47" s="26"/>
      <c r="N47" s="26"/>
      <c r="O47" s="28"/>
      <c r="P47" s="29"/>
      <c r="Q47" s="32" t="str">
        <f t="shared" si="3"/>
        <v/>
      </c>
      <c r="R47" s="27"/>
      <c r="S47" s="27"/>
    </row>
    <row r="48" spans="1:19" x14ac:dyDescent="0.25">
      <c r="A48" s="25" t="str">
        <f>IF($C48="","",COUNTA($C$5:$C48))</f>
        <v/>
      </c>
      <c r="B48" s="26"/>
      <c r="C48" s="27"/>
      <c r="D48" s="27"/>
      <c r="E48" s="28"/>
      <c r="F48" s="28"/>
      <c r="G48" s="27"/>
      <c r="H48" s="29"/>
      <c r="I48" s="28"/>
      <c r="J48" s="33"/>
      <c r="K48" s="32" t="str">
        <f t="shared" si="2"/>
        <v/>
      </c>
      <c r="L48" s="26"/>
      <c r="M48" s="26"/>
      <c r="N48" s="26"/>
      <c r="O48" s="28"/>
      <c r="P48" s="29"/>
      <c r="Q48" s="32" t="str">
        <f t="shared" si="3"/>
        <v/>
      </c>
      <c r="R48" s="27"/>
      <c r="S48" s="27"/>
    </row>
    <row r="49" spans="1:19" x14ac:dyDescent="0.25">
      <c r="A49" s="25" t="str">
        <f>IF($C49="","",COUNTA($C$5:$C49))</f>
        <v/>
      </c>
      <c r="B49" s="26"/>
      <c r="C49" s="27"/>
      <c r="D49" s="27"/>
      <c r="E49" s="28"/>
      <c r="F49" s="28"/>
      <c r="G49" s="27"/>
      <c r="H49" s="29"/>
      <c r="I49" s="28"/>
      <c r="J49" s="33"/>
      <c r="K49" s="32" t="str">
        <f t="shared" si="2"/>
        <v/>
      </c>
      <c r="L49" s="26"/>
      <c r="M49" s="26"/>
      <c r="N49" s="26"/>
      <c r="O49" s="28"/>
      <c r="P49" s="29"/>
      <c r="Q49" s="32" t="str">
        <f t="shared" si="3"/>
        <v/>
      </c>
      <c r="R49" s="27"/>
      <c r="S49" s="27"/>
    </row>
    <row r="50" spans="1:19" x14ac:dyDescent="0.25">
      <c r="A50" s="25" t="str">
        <f>IF($C50="","",COUNTA($C$5:$C50))</f>
        <v/>
      </c>
      <c r="B50" s="26"/>
      <c r="C50" s="27"/>
      <c r="D50" s="27"/>
      <c r="E50" s="28"/>
      <c r="F50" s="28"/>
      <c r="G50" s="27"/>
      <c r="H50" s="29"/>
      <c r="I50" s="28"/>
      <c r="J50" s="33"/>
      <c r="K50" s="32" t="str">
        <f t="shared" si="2"/>
        <v/>
      </c>
      <c r="L50" s="26"/>
      <c r="M50" s="26"/>
      <c r="N50" s="26"/>
      <c r="O50" s="28"/>
      <c r="P50" s="29"/>
      <c r="Q50" s="32" t="str">
        <f t="shared" si="3"/>
        <v/>
      </c>
      <c r="R50" s="27"/>
      <c r="S50" s="27"/>
    </row>
    <row r="51" spans="1:19" x14ac:dyDescent="0.25">
      <c r="A51" s="25" t="str">
        <f>IF($C51="","",COUNTA($C$5:$C51))</f>
        <v/>
      </c>
      <c r="B51" s="26"/>
      <c r="C51" s="27"/>
      <c r="D51" s="27"/>
      <c r="E51" s="28"/>
      <c r="F51" s="28"/>
      <c r="G51" s="27"/>
      <c r="H51" s="29"/>
      <c r="I51" s="28"/>
      <c r="J51" s="33"/>
      <c r="K51" s="32" t="str">
        <f t="shared" si="2"/>
        <v/>
      </c>
      <c r="L51" s="26"/>
      <c r="M51" s="26"/>
      <c r="N51" s="26"/>
      <c r="O51" s="28"/>
      <c r="P51" s="29"/>
      <c r="Q51" s="32" t="str">
        <f t="shared" si="3"/>
        <v/>
      </c>
      <c r="R51" s="27"/>
      <c r="S51" s="27"/>
    </row>
    <row r="52" spans="1:19" x14ac:dyDescent="0.25">
      <c r="A52" s="25" t="str">
        <f>IF($C52="","",COUNTA($C$5:$C52))</f>
        <v/>
      </c>
      <c r="B52" s="26"/>
      <c r="C52" s="27"/>
      <c r="D52" s="27"/>
      <c r="E52" s="28"/>
      <c r="F52" s="28"/>
      <c r="G52" s="27"/>
      <c r="H52" s="29"/>
      <c r="I52" s="28"/>
      <c r="J52" s="33"/>
      <c r="K52" s="32" t="str">
        <f t="shared" si="2"/>
        <v/>
      </c>
      <c r="L52" s="26"/>
      <c r="M52" s="26"/>
      <c r="N52" s="26"/>
      <c r="O52" s="28"/>
      <c r="P52" s="29"/>
      <c r="Q52" s="32" t="str">
        <f t="shared" si="3"/>
        <v/>
      </c>
      <c r="R52" s="27"/>
      <c r="S52" s="27"/>
    </row>
    <row r="53" spans="1:19" x14ac:dyDescent="0.25">
      <c r="A53" s="25" t="str">
        <f>IF($C53="","",COUNTA($C$5:$C53))</f>
        <v/>
      </c>
      <c r="B53" s="26"/>
      <c r="C53" s="27"/>
      <c r="D53" s="27"/>
      <c r="E53" s="28"/>
      <c r="F53" s="28"/>
      <c r="G53" s="27"/>
      <c r="H53" s="29"/>
      <c r="I53" s="28"/>
      <c r="J53" s="33"/>
      <c r="K53" s="32" t="str">
        <f t="shared" si="2"/>
        <v/>
      </c>
      <c r="L53" s="26"/>
      <c r="M53" s="26"/>
      <c r="N53" s="26"/>
      <c r="O53" s="28"/>
      <c r="P53" s="29"/>
      <c r="Q53" s="32" t="str">
        <f t="shared" si="3"/>
        <v/>
      </c>
      <c r="R53" s="27"/>
      <c r="S53" s="27"/>
    </row>
    <row r="54" spans="1:19" x14ac:dyDescent="0.25">
      <c r="A54" s="25" t="str">
        <f>IF($C54="","",COUNTA($C$5:$C54))</f>
        <v/>
      </c>
      <c r="B54" s="26"/>
      <c r="C54" s="27"/>
      <c r="D54" s="27"/>
      <c r="E54" s="28"/>
      <c r="F54" s="28"/>
      <c r="G54" s="27"/>
      <c r="H54" s="29"/>
      <c r="I54" s="28"/>
      <c r="J54" s="33"/>
      <c r="K54" s="32" t="str">
        <f t="shared" si="2"/>
        <v/>
      </c>
      <c r="L54" s="26"/>
      <c r="M54" s="26"/>
      <c r="N54" s="26"/>
      <c r="O54" s="28"/>
      <c r="P54" s="29"/>
      <c r="Q54" s="32" t="str">
        <f t="shared" si="3"/>
        <v/>
      </c>
      <c r="R54" s="27"/>
      <c r="S54" s="27"/>
    </row>
    <row r="55" spans="1:19" x14ac:dyDescent="0.25">
      <c r="A55" s="25" t="str">
        <f>IF($C55="","",COUNTA($C$5:$C55))</f>
        <v/>
      </c>
      <c r="B55" s="26"/>
      <c r="C55" s="27"/>
      <c r="D55" s="27"/>
      <c r="E55" s="28"/>
      <c r="F55" s="28"/>
      <c r="G55" s="27"/>
      <c r="H55" s="29"/>
      <c r="I55" s="28"/>
      <c r="J55" s="33"/>
      <c r="K55" s="32" t="str">
        <f t="shared" si="2"/>
        <v/>
      </c>
      <c r="L55" s="26"/>
      <c r="M55" s="26"/>
      <c r="N55" s="26"/>
      <c r="O55" s="28"/>
      <c r="P55" s="29"/>
      <c r="Q55" s="32" t="str">
        <f t="shared" si="3"/>
        <v/>
      </c>
      <c r="R55" s="27"/>
      <c r="S55" s="27"/>
    </row>
    <row r="56" spans="1:19" x14ac:dyDescent="0.25">
      <c r="A56" s="25" t="str">
        <f>IF($C56="","",COUNTA($C$5:$C56))</f>
        <v/>
      </c>
      <c r="B56" s="26"/>
      <c r="C56" s="27"/>
      <c r="D56" s="27"/>
      <c r="E56" s="28"/>
      <c r="F56" s="28"/>
      <c r="G56" s="27"/>
      <c r="H56" s="29"/>
      <c r="I56" s="28"/>
      <c r="J56" s="33"/>
      <c r="K56" s="32" t="str">
        <f t="shared" si="2"/>
        <v/>
      </c>
      <c r="L56" s="26"/>
      <c r="M56" s="26"/>
      <c r="N56" s="26"/>
      <c r="O56" s="28"/>
      <c r="P56" s="29"/>
      <c r="Q56" s="32" t="str">
        <f t="shared" si="3"/>
        <v/>
      </c>
      <c r="R56" s="27"/>
      <c r="S56" s="27"/>
    </row>
    <row r="57" spans="1:19" x14ac:dyDescent="0.25">
      <c r="A57" s="25" t="str">
        <f>IF($C57="","",COUNTA($C$5:$C57))</f>
        <v/>
      </c>
      <c r="B57" s="26"/>
      <c r="C57" s="27"/>
      <c r="D57" s="27"/>
      <c r="E57" s="28"/>
      <c r="F57" s="28"/>
      <c r="G57" s="27"/>
      <c r="H57" s="29"/>
      <c r="I57" s="28"/>
      <c r="J57" s="33"/>
      <c r="K57" s="32" t="str">
        <f t="shared" si="2"/>
        <v/>
      </c>
      <c r="L57" s="26"/>
      <c r="M57" s="26"/>
      <c r="N57" s="26"/>
      <c r="O57" s="28"/>
      <c r="P57" s="29"/>
      <c r="Q57" s="32" t="str">
        <f t="shared" si="3"/>
        <v/>
      </c>
      <c r="R57" s="27"/>
      <c r="S57" s="27"/>
    </row>
    <row r="58" spans="1:19" x14ac:dyDescent="0.25">
      <c r="A58" s="25" t="str">
        <f>IF($C58="","",COUNTA($C$5:$C58))</f>
        <v/>
      </c>
      <c r="B58" s="26"/>
      <c r="C58" s="27"/>
      <c r="D58" s="27"/>
      <c r="E58" s="28"/>
      <c r="F58" s="28"/>
      <c r="G58" s="27"/>
      <c r="H58" s="29"/>
      <c r="I58" s="28"/>
      <c r="J58" s="33"/>
      <c r="K58" s="32" t="str">
        <f t="shared" si="2"/>
        <v/>
      </c>
      <c r="L58" s="26"/>
      <c r="M58" s="26"/>
      <c r="N58" s="26"/>
      <c r="O58" s="28"/>
      <c r="P58" s="29"/>
      <c r="Q58" s="32" t="str">
        <f t="shared" si="3"/>
        <v/>
      </c>
      <c r="R58" s="27"/>
      <c r="S58" s="27"/>
    </row>
    <row r="59" spans="1:19" x14ac:dyDescent="0.25">
      <c r="A59" s="25" t="str">
        <f>IF($C59="","",COUNTA($C$5:$C59))</f>
        <v/>
      </c>
      <c r="B59" s="26"/>
      <c r="C59" s="27"/>
      <c r="D59" s="27"/>
      <c r="E59" s="28"/>
      <c r="F59" s="28"/>
      <c r="G59" s="27"/>
      <c r="H59" s="29"/>
      <c r="I59" s="28"/>
      <c r="J59" s="33"/>
      <c r="K59" s="32" t="str">
        <f t="shared" si="2"/>
        <v/>
      </c>
      <c r="L59" s="26"/>
      <c r="M59" s="26"/>
      <c r="N59" s="26"/>
      <c r="O59" s="28"/>
      <c r="P59" s="29"/>
      <c r="Q59" s="32" t="str">
        <f t="shared" si="3"/>
        <v/>
      </c>
      <c r="R59" s="27"/>
      <c r="S59" s="27"/>
    </row>
    <row r="60" spans="1:19" x14ac:dyDescent="0.25">
      <c r="A60" s="25" t="str">
        <f>IF($C60="","",COUNTA($C$5:$C60))</f>
        <v/>
      </c>
      <c r="B60" s="26"/>
      <c r="C60" s="27"/>
      <c r="D60" s="27"/>
      <c r="E60" s="28"/>
      <c r="F60" s="28"/>
      <c r="G60" s="27"/>
      <c r="H60" s="29"/>
      <c r="I60" s="28"/>
      <c r="J60" s="33"/>
      <c r="K60" s="32" t="str">
        <f t="shared" si="2"/>
        <v/>
      </c>
      <c r="L60" s="26"/>
      <c r="M60" s="26"/>
      <c r="N60" s="26"/>
      <c r="O60" s="28"/>
      <c r="P60" s="29"/>
      <c r="Q60" s="32" t="str">
        <f t="shared" si="3"/>
        <v/>
      </c>
      <c r="R60" s="27"/>
      <c r="S60" s="27"/>
    </row>
    <row r="61" spans="1:19" x14ac:dyDescent="0.25">
      <c r="A61" s="25" t="str">
        <f>IF($C61="","",COUNTA($C$5:$C61))</f>
        <v/>
      </c>
      <c r="B61" s="26"/>
      <c r="C61" s="27"/>
      <c r="D61" s="27"/>
      <c r="E61" s="28"/>
      <c r="F61" s="28"/>
      <c r="G61" s="27"/>
      <c r="H61" s="29"/>
      <c r="I61" s="28"/>
      <c r="J61" s="33"/>
      <c r="K61" s="32" t="str">
        <f t="shared" si="2"/>
        <v/>
      </c>
      <c r="L61" s="26"/>
      <c r="M61" s="26"/>
      <c r="N61" s="26"/>
      <c r="O61" s="28"/>
      <c r="P61" s="29"/>
      <c r="Q61" s="32" t="str">
        <f t="shared" si="3"/>
        <v/>
      </c>
      <c r="R61" s="27"/>
      <c r="S61" s="27"/>
    </row>
    <row r="62" spans="1:19" x14ac:dyDescent="0.25">
      <c r="A62" s="25" t="str">
        <f>IF($C62="","",COUNTA($C$5:$C62))</f>
        <v/>
      </c>
      <c r="B62" s="26"/>
      <c r="C62" s="27"/>
      <c r="D62" s="27"/>
      <c r="E62" s="28"/>
      <c r="F62" s="28"/>
      <c r="G62" s="27"/>
      <c r="H62" s="29"/>
      <c r="I62" s="28"/>
      <c r="J62" s="33"/>
      <c r="K62" s="32" t="str">
        <f t="shared" si="2"/>
        <v/>
      </c>
      <c r="L62" s="26"/>
      <c r="M62" s="26"/>
      <c r="N62" s="26"/>
      <c r="O62" s="28"/>
      <c r="P62" s="29"/>
      <c r="Q62" s="32" t="str">
        <f t="shared" si="3"/>
        <v/>
      </c>
      <c r="R62" s="27"/>
      <c r="S62" s="27"/>
    </row>
    <row r="63" spans="1:19" x14ac:dyDescent="0.25">
      <c r="A63" s="25" t="str">
        <f>IF($C63="","",COUNTA($C$5:$C63))</f>
        <v/>
      </c>
      <c r="B63" s="26"/>
      <c r="C63" s="27"/>
      <c r="D63" s="27"/>
      <c r="E63" s="28"/>
      <c r="F63" s="28"/>
      <c r="G63" s="27"/>
      <c r="H63" s="29"/>
      <c r="I63" s="28"/>
      <c r="J63" s="33"/>
      <c r="K63" s="32" t="str">
        <f t="shared" si="2"/>
        <v/>
      </c>
      <c r="L63" s="26"/>
      <c r="M63" s="26"/>
      <c r="N63" s="26"/>
      <c r="O63" s="28"/>
      <c r="P63" s="29"/>
      <c r="Q63" s="32" t="str">
        <f t="shared" si="3"/>
        <v/>
      </c>
      <c r="R63" s="27"/>
      <c r="S63" s="27"/>
    </row>
    <row r="64" spans="1:19" x14ac:dyDescent="0.25">
      <c r="A64" s="25" t="str">
        <f>IF($C64="","",COUNTA($C$5:$C64))</f>
        <v/>
      </c>
      <c r="B64" s="26"/>
      <c r="C64" s="27"/>
      <c r="D64" s="27"/>
      <c r="E64" s="28"/>
      <c r="F64" s="28"/>
      <c r="G64" s="27"/>
      <c r="H64" s="29"/>
      <c r="I64" s="28"/>
      <c r="J64" s="33"/>
      <c r="K64" s="32" t="str">
        <f t="shared" si="2"/>
        <v/>
      </c>
      <c r="L64" s="26"/>
      <c r="M64" s="26"/>
      <c r="N64" s="26"/>
      <c r="O64" s="28"/>
      <c r="P64" s="29"/>
      <c r="Q64" s="32" t="str">
        <f t="shared" si="3"/>
        <v/>
      </c>
      <c r="R64" s="27"/>
      <c r="S64" s="27"/>
    </row>
    <row r="65" spans="1:19" x14ac:dyDescent="0.25">
      <c r="A65" s="25" t="str">
        <f>IF($C65="","",COUNTA($C$5:$C65))</f>
        <v/>
      </c>
      <c r="B65" s="26"/>
      <c r="C65" s="27"/>
      <c r="D65" s="27"/>
      <c r="E65" s="28"/>
      <c r="F65" s="28"/>
      <c r="G65" s="27"/>
      <c r="H65" s="29"/>
      <c r="I65" s="28"/>
      <c r="J65" s="33"/>
      <c r="K65" s="32" t="str">
        <f t="shared" si="2"/>
        <v/>
      </c>
      <c r="L65" s="26"/>
      <c r="M65" s="26"/>
      <c r="N65" s="26"/>
      <c r="O65" s="28"/>
      <c r="P65" s="29"/>
      <c r="Q65" s="32" t="str">
        <f t="shared" si="3"/>
        <v/>
      </c>
      <c r="R65" s="27"/>
      <c r="S65" s="27"/>
    </row>
    <row r="66" spans="1:19" x14ac:dyDescent="0.25">
      <c r="A66" s="25" t="str">
        <f>IF($C66="","",COUNTA($C$5:$C66))</f>
        <v/>
      </c>
      <c r="B66" s="26"/>
      <c r="C66" s="27"/>
      <c r="D66" s="27"/>
      <c r="E66" s="28"/>
      <c r="F66" s="28"/>
      <c r="G66" s="27"/>
      <c r="H66" s="29"/>
      <c r="I66" s="28"/>
      <c r="J66" s="33"/>
      <c r="K66" s="32" t="str">
        <f t="shared" si="2"/>
        <v/>
      </c>
      <c r="L66" s="26"/>
      <c r="M66" s="26"/>
      <c r="N66" s="26"/>
      <c r="O66" s="28"/>
      <c r="P66" s="29"/>
      <c r="Q66" s="32" t="str">
        <f t="shared" si="3"/>
        <v/>
      </c>
      <c r="R66" s="27"/>
      <c r="S66" s="27"/>
    </row>
    <row r="67" spans="1:19" x14ac:dyDescent="0.25">
      <c r="A67" s="25" t="str">
        <f>IF($C67="","",COUNTA($C$5:$C67))</f>
        <v/>
      </c>
      <c r="B67" s="26"/>
      <c r="C67" s="27"/>
      <c r="D67" s="27"/>
      <c r="E67" s="28"/>
      <c r="F67" s="28"/>
      <c r="G67" s="27"/>
      <c r="H67" s="29"/>
      <c r="I67" s="28"/>
      <c r="J67" s="33"/>
      <c r="K67" s="32" t="str">
        <f t="shared" si="2"/>
        <v/>
      </c>
      <c r="L67" s="26"/>
      <c r="M67" s="26"/>
      <c r="N67" s="26"/>
      <c r="O67" s="28"/>
      <c r="P67" s="29"/>
      <c r="Q67" s="32" t="str">
        <f t="shared" si="3"/>
        <v/>
      </c>
      <c r="R67" s="27"/>
      <c r="S67" s="27"/>
    </row>
    <row r="68" spans="1:19" x14ac:dyDescent="0.25">
      <c r="A68" s="25" t="str">
        <f>IF($C68="","",COUNTA($C$5:$C68))</f>
        <v/>
      </c>
      <c r="B68" s="26"/>
      <c r="C68" s="27"/>
      <c r="D68" s="27"/>
      <c r="E68" s="28"/>
      <c r="F68" s="28"/>
      <c r="G68" s="27"/>
      <c r="H68" s="29"/>
      <c r="I68" s="28"/>
      <c r="J68" s="33"/>
      <c r="K68" s="32" t="str">
        <f t="shared" si="2"/>
        <v/>
      </c>
      <c r="L68" s="26"/>
      <c r="M68" s="26"/>
      <c r="N68" s="26"/>
      <c r="O68" s="28"/>
      <c r="P68" s="29"/>
      <c r="Q68" s="32" t="str">
        <f t="shared" si="3"/>
        <v/>
      </c>
      <c r="R68" s="27"/>
      <c r="S68" s="27"/>
    </row>
    <row r="69" spans="1:19" x14ac:dyDescent="0.25">
      <c r="A69" s="25" t="str">
        <f>IF($C69="","",COUNTA($C$5:$C69))</f>
        <v/>
      </c>
      <c r="B69" s="26"/>
      <c r="C69" s="27"/>
      <c r="D69" s="27"/>
      <c r="E69" s="28"/>
      <c r="F69" s="28"/>
      <c r="G69" s="27"/>
      <c r="H69" s="29"/>
      <c r="I69" s="28"/>
      <c r="J69" s="33"/>
      <c r="K69" s="32" t="str">
        <f t="shared" ref="K69:K84" si="4">IF($H69="","",$H69*IF($J69="",0,$J69))</f>
        <v/>
      </c>
      <c r="L69" s="26"/>
      <c r="M69" s="26"/>
      <c r="N69" s="26"/>
      <c r="O69" s="28"/>
      <c r="P69" s="29"/>
      <c r="Q69" s="32" t="str">
        <f t="shared" ref="Q69:Q84" si="5">IF($H69="","",$H69-IF($P69="",0,$P69))</f>
        <v/>
      </c>
      <c r="R69" s="27"/>
      <c r="S69" s="27"/>
    </row>
    <row r="70" spans="1:19" x14ac:dyDescent="0.25">
      <c r="A70" s="25" t="str">
        <f>IF($C70="","",COUNTA($C$5:$C70))</f>
        <v/>
      </c>
      <c r="B70" s="26"/>
      <c r="C70" s="27"/>
      <c r="D70" s="27"/>
      <c r="E70" s="28"/>
      <c r="F70" s="28"/>
      <c r="G70" s="27"/>
      <c r="H70" s="29"/>
      <c r="I70" s="28"/>
      <c r="J70" s="33"/>
      <c r="K70" s="32" t="str">
        <f t="shared" si="4"/>
        <v/>
      </c>
      <c r="L70" s="26"/>
      <c r="M70" s="26"/>
      <c r="N70" s="26"/>
      <c r="O70" s="28"/>
      <c r="P70" s="29"/>
      <c r="Q70" s="32" t="str">
        <f t="shared" si="5"/>
        <v/>
      </c>
      <c r="R70" s="27"/>
      <c r="S70" s="27"/>
    </row>
    <row r="71" spans="1:19" x14ac:dyDescent="0.25">
      <c r="A71" s="25" t="str">
        <f>IF($C71="","",COUNTA($C$5:$C71))</f>
        <v/>
      </c>
      <c r="B71" s="26"/>
      <c r="C71" s="27"/>
      <c r="D71" s="27"/>
      <c r="E71" s="28"/>
      <c r="F71" s="28"/>
      <c r="G71" s="27"/>
      <c r="H71" s="29"/>
      <c r="I71" s="28"/>
      <c r="J71" s="33"/>
      <c r="K71" s="32" t="str">
        <f t="shared" si="4"/>
        <v/>
      </c>
      <c r="L71" s="26"/>
      <c r="M71" s="26"/>
      <c r="N71" s="26"/>
      <c r="O71" s="28"/>
      <c r="P71" s="29"/>
      <c r="Q71" s="32" t="str">
        <f t="shared" si="5"/>
        <v/>
      </c>
      <c r="R71" s="27"/>
      <c r="S71" s="27"/>
    </row>
    <row r="72" spans="1:19" x14ac:dyDescent="0.25">
      <c r="A72" s="25" t="str">
        <f>IF($C72="","",COUNTA($C$5:$C72))</f>
        <v/>
      </c>
      <c r="B72" s="26"/>
      <c r="C72" s="27"/>
      <c r="D72" s="27"/>
      <c r="E72" s="28"/>
      <c r="F72" s="28"/>
      <c r="G72" s="27"/>
      <c r="H72" s="29"/>
      <c r="I72" s="28"/>
      <c r="J72" s="33"/>
      <c r="K72" s="32" t="str">
        <f t="shared" si="4"/>
        <v/>
      </c>
      <c r="L72" s="26"/>
      <c r="M72" s="26"/>
      <c r="N72" s="26"/>
      <c r="O72" s="28"/>
      <c r="P72" s="29"/>
      <c r="Q72" s="32" t="str">
        <f t="shared" si="5"/>
        <v/>
      </c>
      <c r="R72" s="27"/>
      <c r="S72" s="27"/>
    </row>
    <row r="73" spans="1:19" x14ac:dyDescent="0.25">
      <c r="A73" s="25" t="str">
        <f>IF($C73="","",COUNTA($C$5:$C73))</f>
        <v/>
      </c>
      <c r="B73" s="26"/>
      <c r="C73" s="27"/>
      <c r="D73" s="27"/>
      <c r="E73" s="28"/>
      <c r="F73" s="28"/>
      <c r="G73" s="27"/>
      <c r="H73" s="29"/>
      <c r="I73" s="28"/>
      <c r="J73" s="33"/>
      <c r="K73" s="32" t="str">
        <f t="shared" si="4"/>
        <v/>
      </c>
      <c r="L73" s="26"/>
      <c r="M73" s="26"/>
      <c r="N73" s="26"/>
      <c r="O73" s="28"/>
      <c r="P73" s="29"/>
      <c r="Q73" s="32" t="str">
        <f t="shared" si="5"/>
        <v/>
      </c>
      <c r="R73" s="27"/>
      <c r="S73" s="27"/>
    </row>
    <row r="74" spans="1:19" x14ac:dyDescent="0.25">
      <c r="A74" s="25" t="str">
        <f>IF($C74="","",COUNTA($C$5:$C74))</f>
        <v/>
      </c>
      <c r="B74" s="26"/>
      <c r="C74" s="27"/>
      <c r="D74" s="27"/>
      <c r="E74" s="28"/>
      <c r="F74" s="28"/>
      <c r="G74" s="27"/>
      <c r="H74" s="29"/>
      <c r="I74" s="28"/>
      <c r="J74" s="33"/>
      <c r="K74" s="32" t="str">
        <f t="shared" si="4"/>
        <v/>
      </c>
      <c r="L74" s="26"/>
      <c r="M74" s="26"/>
      <c r="N74" s="26"/>
      <c r="O74" s="28"/>
      <c r="P74" s="29"/>
      <c r="Q74" s="32" t="str">
        <f t="shared" si="5"/>
        <v/>
      </c>
      <c r="R74" s="27"/>
      <c r="S74" s="27"/>
    </row>
    <row r="75" spans="1:19" x14ac:dyDescent="0.25">
      <c r="A75" s="25" t="str">
        <f>IF($C75="","",COUNTA($C$5:$C75))</f>
        <v/>
      </c>
      <c r="B75" s="26"/>
      <c r="C75" s="27"/>
      <c r="D75" s="27"/>
      <c r="E75" s="28"/>
      <c r="F75" s="28"/>
      <c r="G75" s="27"/>
      <c r="H75" s="29"/>
      <c r="I75" s="28"/>
      <c r="J75" s="33"/>
      <c r="K75" s="32" t="str">
        <f t="shared" si="4"/>
        <v/>
      </c>
      <c r="L75" s="26"/>
      <c r="M75" s="26"/>
      <c r="N75" s="26"/>
      <c r="O75" s="28"/>
      <c r="P75" s="29"/>
      <c r="Q75" s="32" t="str">
        <f t="shared" si="5"/>
        <v/>
      </c>
      <c r="R75" s="27"/>
      <c r="S75" s="27"/>
    </row>
    <row r="76" spans="1:19" x14ac:dyDescent="0.25">
      <c r="A76" s="25" t="str">
        <f>IF($C76="","",COUNTA($C$5:$C76))</f>
        <v/>
      </c>
      <c r="B76" s="26"/>
      <c r="C76" s="27"/>
      <c r="D76" s="27"/>
      <c r="E76" s="28"/>
      <c r="F76" s="28"/>
      <c r="G76" s="27"/>
      <c r="H76" s="29"/>
      <c r="I76" s="28"/>
      <c r="J76" s="33"/>
      <c r="K76" s="32" t="str">
        <f t="shared" si="4"/>
        <v/>
      </c>
      <c r="L76" s="26"/>
      <c r="M76" s="26"/>
      <c r="N76" s="26"/>
      <c r="O76" s="28"/>
      <c r="P76" s="29"/>
      <c r="Q76" s="32" t="str">
        <f t="shared" si="5"/>
        <v/>
      </c>
      <c r="R76" s="27"/>
      <c r="S76" s="27"/>
    </row>
    <row r="77" spans="1:19" x14ac:dyDescent="0.25">
      <c r="A77" s="25" t="str">
        <f>IF($C77="","",COUNTA($C$5:$C77))</f>
        <v/>
      </c>
      <c r="B77" s="26"/>
      <c r="C77" s="27"/>
      <c r="D77" s="27"/>
      <c r="E77" s="28"/>
      <c r="F77" s="28"/>
      <c r="G77" s="27"/>
      <c r="H77" s="29"/>
      <c r="I77" s="28"/>
      <c r="J77" s="33"/>
      <c r="K77" s="32" t="str">
        <f t="shared" si="4"/>
        <v/>
      </c>
      <c r="L77" s="26"/>
      <c r="M77" s="26"/>
      <c r="N77" s="26"/>
      <c r="O77" s="28"/>
      <c r="P77" s="29"/>
      <c r="Q77" s="32" t="str">
        <f t="shared" si="5"/>
        <v/>
      </c>
      <c r="R77" s="27"/>
      <c r="S77" s="27"/>
    </row>
    <row r="78" spans="1:19" x14ac:dyDescent="0.25">
      <c r="A78" s="25" t="str">
        <f>IF($C78="","",COUNTA($C$5:$C78))</f>
        <v/>
      </c>
      <c r="B78" s="26"/>
      <c r="C78" s="27"/>
      <c r="D78" s="27"/>
      <c r="E78" s="28"/>
      <c r="F78" s="28"/>
      <c r="G78" s="27"/>
      <c r="H78" s="29"/>
      <c r="I78" s="28"/>
      <c r="J78" s="33"/>
      <c r="K78" s="32" t="str">
        <f t="shared" si="4"/>
        <v/>
      </c>
      <c r="L78" s="26"/>
      <c r="M78" s="26"/>
      <c r="N78" s="26"/>
      <c r="O78" s="28"/>
      <c r="P78" s="29"/>
      <c r="Q78" s="32" t="str">
        <f t="shared" si="5"/>
        <v/>
      </c>
      <c r="R78" s="27"/>
      <c r="S78" s="27"/>
    </row>
    <row r="79" spans="1:19" x14ac:dyDescent="0.25">
      <c r="A79" s="25" t="str">
        <f>IF($C79="","",COUNTA($C$5:$C79))</f>
        <v/>
      </c>
      <c r="B79" s="26"/>
      <c r="C79" s="27"/>
      <c r="D79" s="27"/>
      <c r="E79" s="28"/>
      <c r="F79" s="28"/>
      <c r="G79" s="27"/>
      <c r="H79" s="29"/>
      <c r="I79" s="28"/>
      <c r="J79" s="33"/>
      <c r="K79" s="32" t="str">
        <f t="shared" si="4"/>
        <v/>
      </c>
      <c r="L79" s="26"/>
      <c r="M79" s="26"/>
      <c r="N79" s="26"/>
      <c r="O79" s="28"/>
      <c r="P79" s="29"/>
      <c r="Q79" s="32" t="str">
        <f t="shared" si="5"/>
        <v/>
      </c>
      <c r="R79" s="27"/>
      <c r="S79" s="27"/>
    </row>
    <row r="80" spans="1:19" x14ac:dyDescent="0.25">
      <c r="A80" s="25" t="str">
        <f>IF($C80="","",COUNTA($C$5:$C80))</f>
        <v/>
      </c>
      <c r="B80" s="26"/>
      <c r="C80" s="27"/>
      <c r="D80" s="27"/>
      <c r="E80" s="28"/>
      <c r="F80" s="28"/>
      <c r="G80" s="27"/>
      <c r="H80" s="29"/>
      <c r="I80" s="28"/>
      <c r="J80" s="33"/>
      <c r="K80" s="32" t="str">
        <f t="shared" si="4"/>
        <v/>
      </c>
      <c r="L80" s="26"/>
      <c r="M80" s="26"/>
      <c r="N80" s="26"/>
      <c r="O80" s="28"/>
      <c r="P80" s="29"/>
      <c r="Q80" s="32" t="str">
        <f t="shared" si="5"/>
        <v/>
      </c>
      <c r="R80" s="27"/>
      <c r="S80" s="27"/>
    </row>
    <row r="81" spans="1:19" x14ac:dyDescent="0.25">
      <c r="A81" s="25" t="str">
        <f>IF($C81="","",COUNTA($C$5:$C81))</f>
        <v/>
      </c>
      <c r="B81" s="26"/>
      <c r="C81" s="27"/>
      <c r="D81" s="27"/>
      <c r="E81" s="28"/>
      <c r="F81" s="28"/>
      <c r="G81" s="27"/>
      <c r="H81" s="29"/>
      <c r="I81" s="28"/>
      <c r="J81" s="33"/>
      <c r="K81" s="32" t="str">
        <f t="shared" si="4"/>
        <v/>
      </c>
      <c r="L81" s="26"/>
      <c r="M81" s="26"/>
      <c r="N81" s="26"/>
      <c r="O81" s="28"/>
      <c r="P81" s="29"/>
      <c r="Q81" s="32" t="str">
        <f t="shared" si="5"/>
        <v/>
      </c>
      <c r="R81" s="27"/>
      <c r="S81" s="27"/>
    </row>
    <row r="82" spans="1:19" x14ac:dyDescent="0.25">
      <c r="A82" s="25" t="str">
        <f>IF($C82="","",COUNTA($C$5:$C82))</f>
        <v/>
      </c>
      <c r="B82" s="26"/>
      <c r="C82" s="27"/>
      <c r="D82" s="27"/>
      <c r="E82" s="28"/>
      <c r="F82" s="28"/>
      <c r="G82" s="27"/>
      <c r="H82" s="29"/>
      <c r="I82" s="28"/>
      <c r="J82" s="33"/>
      <c r="K82" s="32" t="str">
        <f t="shared" si="4"/>
        <v/>
      </c>
      <c r="L82" s="26"/>
      <c r="M82" s="26"/>
      <c r="N82" s="26"/>
      <c r="O82" s="28"/>
      <c r="P82" s="29"/>
      <c r="Q82" s="32" t="str">
        <f t="shared" si="5"/>
        <v/>
      </c>
      <c r="R82" s="27"/>
      <c r="S82" s="27"/>
    </row>
    <row r="83" spans="1:19" x14ac:dyDescent="0.25">
      <c r="A83" s="25" t="str">
        <f>IF($C83="","",COUNTA($C$5:$C83))</f>
        <v/>
      </c>
      <c r="B83" s="26"/>
      <c r="C83" s="27"/>
      <c r="D83" s="27"/>
      <c r="E83" s="28"/>
      <c r="F83" s="28"/>
      <c r="G83" s="27"/>
      <c r="H83" s="29"/>
      <c r="I83" s="28"/>
      <c r="J83" s="33"/>
      <c r="K83" s="32" t="str">
        <f t="shared" si="4"/>
        <v/>
      </c>
      <c r="L83" s="26"/>
      <c r="M83" s="26"/>
      <c r="N83" s="26"/>
      <c r="O83" s="28"/>
      <c r="P83" s="29"/>
      <c r="Q83" s="32" t="str">
        <f t="shared" si="5"/>
        <v/>
      </c>
      <c r="R83" s="27"/>
      <c r="S83" s="27"/>
    </row>
    <row r="84" spans="1:19" x14ac:dyDescent="0.25">
      <c r="A84" s="25" t="str">
        <f>IF($C84="","",COUNTA($C$5:$C84))</f>
        <v/>
      </c>
      <c r="B84" s="26"/>
      <c r="C84" s="27"/>
      <c r="D84" s="27"/>
      <c r="E84" s="28"/>
      <c r="F84" s="28"/>
      <c r="G84" s="27"/>
      <c r="H84" s="29"/>
      <c r="I84" s="28"/>
      <c r="J84" s="33"/>
      <c r="K84" s="32" t="str">
        <f t="shared" si="4"/>
        <v/>
      </c>
      <c r="L84" s="26"/>
      <c r="M84" s="26"/>
      <c r="N84" s="26"/>
      <c r="O84" s="28"/>
      <c r="P84" s="29"/>
      <c r="Q84" s="32" t="str">
        <f t="shared" si="5"/>
        <v/>
      </c>
      <c r="R84" s="27"/>
      <c r="S84" s="27"/>
    </row>
    <row r="86" spans="1:19" x14ac:dyDescent="0.25">
      <c r="G86" s="34" t="s">
        <v>146</v>
      </c>
      <c r="H86" s="35">
        <f>SUM(H5:H84)</f>
        <v>12000000</v>
      </c>
      <c r="K86" s="35">
        <f>SUM(K5:K84)</f>
        <v>6000000</v>
      </c>
      <c r="P86" s="35">
        <f>SUM(P5:P84)</f>
        <v>0</v>
      </c>
      <c r="Q86" s="35">
        <f>SUM(Q5:Q84)</f>
        <v>12000000</v>
      </c>
    </row>
  </sheetData>
  <conditionalFormatting sqref="I5:I84">
    <cfRule type="cellIs" dxfId="4" priority="2" operator="equal">
      <formula>"Deal / DP"</formula>
    </cfRule>
    <cfRule type="cellIs" dxfId="3" priority="3" operator="equal">
      <formula>"Selesai"</formula>
    </cfRule>
    <cfRule type="cellIs" dxfId="2" priority="4" operator="equal">
      <formula>"Batal"</formula>
    </cfRule>
  </conditionalFormatting>
  <conditionalFormatting sqref="L5:L84">
    <cfRule type="expression" dxfId="1" priority="6">
      <formula>AND($L5&lt;&gt;"",$L5&lt;TODAY(),$I5="Lead")</formula>
    </cfRule>
  </conditionalFormatting>
  <conditionalFormatting sqref="O5:O84">
    <cfRule type="cellIs" dxfId="0" priority="5" operator="equal">
      <formula>"Telat Bayar"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Lists!$H$2:$H$10</xm:f>
          </x14:formula1>
          <x14:formula2>
            <xm:f>0</xm:f>
          </x14:formula2>
          <xm:sqref>E5:E84</xm:sqref>
        </x14:dataValidation>
        <x14:dataValidation type="list" allowBlank="1" xr:uid="{00000000-0002-0000-0300-000001000000}">
          <x14:formula1>
            <xm:f>Lists!$F$2:$F$10</xm:f>
          </x14:formula1>
          <x14:formula2>
            <xm:f>0</xm:f>
          </x14:formula2>
          <xm:sqref>F5:F84</xm:sqref>
        </x14:dataValidation>
        <x14:dataValidation type="list" allowBlank="1" xr:uid="{00000000-0002-0000-0300-000002000000}">
          <x14:formula1>
            <xm:f>Lists!$E$2:$E$10</xm:f>
          </x14:formula1>
          <x14:formula2>
            <xm:f>0</xm:f>
          </x14:formula2>
          <xm:sqref>I5:I84</xm:sqref>
        </x14:dataValidation>
        <x14:dataValidation type="list" allowBlank="1" xr:uid="{00000000-0002-0000-0300-000003000000}">
          <x14:formula1>
            <xm:f>Lists!$G$2:$G$7</xm:f>
          </x14:formula1>
          <x14:formula2>
            <xm:f>0</xm:f>
          </x14:formula2>
          <xm:sqref>O5:O84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Lists</vt:lpstr>
      <vt:lpstr>Full-Time</vt:lpstr>
      <vt:lpstr>Freelance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rizky kamil</cp:lastModifiedBy>
  <cp:revision>0</cp:revision>
  <dcterms:created xsi:type="dcterms:W3CDTF">2026-09-19T06:23:19Z</dcterms:created>
  <dcterms:modified xsi:type="dcterms:W3CDTF">2026-09-19T06:48:07Z</dcterms:modified>
  <dc:language>en-US</dc:language>
</cp:coreProperties>
</file>